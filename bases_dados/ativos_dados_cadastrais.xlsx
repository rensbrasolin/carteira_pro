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at\Desktop\ProjetosVSCode\CarteiraPro\bases_dados\"/>
    </mc:Choice>
  </mc:AlternateContent>
  <bookViews>
    <workbookView xWindow="0" yWindow="0" windowWidth="23040" windowHeight="9252" activeTab="2"/>
  </bookViews>
  <sheets>
    <sheet name="Ações" sheetId="1" r:id="rId1"/>
    <sheet name="FIIs" sheetId="5" r:id="rId2"/>
    <sheet name="FIAgros" sheetId="6" r:id="rId3"/>
    <sheet name="FIInfras" sheetId="7" r:id="rId4"/>
    <sheet name="base_fiis_inv10" sheetId="11" r:id="rId5"/>
    <sheet name="fonte" sheetId="4" r:id="rId6"/>
  </sheets>
  <definedNames>
    <definedName name="_xlnm._FilterDatabase" localSheetId="0" hidden="1">Ações!$A$1:$E$493</definedName>
    <definedName name="_xlnm._FilterDatabase" localSheetId="4" hidden="1">base_fiis_inv10!$A$1:$C$282</definedName>
    <definedName name="_xlnm._FilterDatabase" localSheetId="2" hidden="1">FIAgros!$A$1:$E$42</definedName>
    <definedName name="_xlnm._FilterDatabase" localSheetId="3" hidden="1">FIInfras!$A$1:$E$31</definedName>
    <definedName name="_xlnm._FilterDatabase" localSheetId="1" hidden="1">FIIs!$A$1:$E$405</definedName>
  </definedNames>
  <calcPr calcId="152511"/>
</workbook>
</file>

<file path=xl/calcChain.xml><?xml version="1.0" encoding="utf-8"?>
<calcChain xmlns="http://schemas.openxmlformats.org/spreadsheetml/2006/main">
  <c r="D3" i="6" l="1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2" i="7"/>
  <c r="E2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2" i="5"/>
</calcChain>
</file>

<file path=xl/sharedStrings.xml><?xml version="1.0" encoding="utf-8"?>
<sst xmlns="http://schemas.openxmlformats.org/spreadsheetml/2006/main" count="4823" uniqueCount="2754">
  <si>
    <t>Ticker</t>
  </si>
  <si>
    <t>Nome</t>
  </si>
  <si>
    <t>CNPJ</t>
  </si>
  <si>
    <t>Segmento</t>
  </si>
  <si>
    <t>Setor</t>
  </si>
  <si>
    <t>AALR3</t>
  </si>
  <si>
    <t>ALLIANÇA SAÚDE E PARTICIPAÇÕES S.A.</t>
  </si>
  <si>
    <t>42.771.949/0001-35</t>
  </si>
  <si>
    <t>Serv.Méd.Hospit..Análises e Diagnósticos</t>
  </si>
  <si>
    <t>Saúde</t>
  </si>
  <si>
    <t>ABCB4</t>
  </si>
  <si>
    <t>BCO ABC BRASIL S.A.</t>
  </si>
  <si>
    <t>28.195.667/0001-06</t>
  </si>
  <si>
    <t>Bancos</t>
  </si>
  <si>
    <t>Financeiro</t>
  </si>
  <si>
    <t>ABEV3</t>
  </si>
  <si>
    <t>AMBEV S.A.</t>
  </si>
  <si>
    <t>07.526.557/0001-00</t>
  </si>
  <si>
    <t>Cervejas e Refrigerantes</t>
  </si>
  <si>
    <t>Consumo não Cíclico</t>
  </si>
  <si>
    <t>ADMF3</t>
  </si>
  <si>
    <t>CIABRASF CIA BRASILEIRA DE SERVIÇOS FINANCEIROS SA</t>
  </si>
  <si>
    <t>52.270.350/0001-71</t>
  </si>
  <si>
    <t>Serviços Diversos</t>
  </si>
  <si>
    <t>AERI3</t>
  </si>
  <si>
    <t>AERIS IND. E COM. DE EQUIP. GERACAO DE ENERGIA S/A</t>
  </si>
  <si>
    <t>12.528.708/0001-07</t>
  </si>
  <si>
    <t>Máq. e Equip. Industriais</t>
  </si>
  <si>
    <t>Bens Industriais</t>
  </si>
  <si>
    <t>AESB3</t>
  </si>
  <si>
    <t>AUREN PARTICIPAÇÕES S.A.</t>
  </si>
  <si>
    <t>37.663.076/0001-07</t>
  </si>
  <si>
    <t>Energia Elétrica</t>
  </si>
  <si>
    <t>Utilidade Pública</t>
  </si>
  <si>
    <t>AFLT3</t>
  </si>
  <si>
    <t>AFLUENTE TRANSMISSÃO DE ENERGIA ELÉTRICA S/A</t>
  </si>
  <si>
    <t>10.338.320/0001-00</t>
  </si>
  <si>
    <t>AGRO3</t>
  </si>
  <si>
    <t>BRASILAGRO - CIA BRAS DE PROP AGRICOLAS</t>
  </si>
  <si>
    <t>07.628.528/0001-59</t>
  </si>
  <si>
    <t>Agricultura</t>
  </si>
  <si>
    <t>AGXY3</t>
  </si>
  <si>
    <t>AGROGALAXY PARTICIPAÇÕES S.A.</t>
  </si>
  <si>
    <t>21.240.146/0001-84</t>
  </si>
  <si>
    <t>AHEB3</t>
  </si>
  <si>
    <t>SAO PAULO TURISMO S.A.</t>
  </si>
  <si>
    <t>62.002.886/0001-60</t>
  </si>
  <si>
    <t>Produção de Eventos e Shows</t>
  </si>
  <si>
    <t>Consumo Cíclico</t>
  </si>
  <si>
    <t>AHEB5</t>
  </si>
  <si>
    <t>AHEB6</t>
  </si>
  <si>
    <t>ALLD3</t>
  </si>
  <si>
    <t>ALLIED TECNOLOGIA S.A.</t>
  </si>
  <si>
    <t>20.247.322/0001-47</t>
  </si>
  <si>
    <t>Eletrodomésticos</t>
  </si>
  <si>
    <t>ALOS3</t>
  </si>
  <si>
    <t>ALLOS S.A</t>
  </si>
  <si>
    <t>05.878.397/0001-32</t>
  </si>
  <si>
    <t>Exploração de Imóveis</t>
  </si>
  <si>
    <t>ALPA3</t>
  </si>
  <si>
    <t>ALPARGATAS S.A.</t>
  </si>
  <si>
    <t>61.079.117/0001-05</t>
  </si>
  <si>
    <t>Calçados</t>
  </si>
  <si>
    <t>ALPA4</t>
  </si>
  <si>
    <t>ALPK3</t>
  </si>
  <si>
    <t>ALLPARK EMPREENDIMENTOS PARTICIPACOES SERVICOS S.A</t>
  </si>
  <si>
    <t>60.537.263/0001-66</t>
  </si>
  <si>
    <t>ALUP11</t>
  </si>
  <si>
    <t>ALUPAR INVESTIMENTO S/A</t>
  </si>
  <si>
    <t>08.364.948/0001-38</t>
  </si>
  <si>
    <t>ALUP3</t>
  </si>
  <si>
    <t>ALUP4</t>
  </si>
  <si>
    <t>AMAR3</t>
  </si>
  <si>
    <t>MARISA LOJAS S.A.</t>
  </si>
  <si>
    <t>61.189.288/0001-89</t>
  </si>
  <si>
    <t>Tecidos. Vestuário e Calçados</t>
  </si>
  <si>
    <t>AMBP3</t>
  </si>
  <si>
    <t>AMBIPAR PARTICIPACOES E EMPREENDIMENTOS S/A</t>
  </si>
  <si>
    <t>12.648.266/0001-24</t>
  </si>
  <si>
    <t>Água e Saneamento</t>
  </si>
  <si>
    <t>AMER3</t>
  </si>
  <si>
    <t>AMERICANAS S.A</t>
  </si>
  <si>
    <t>00.776.574/0001-56</t>
  </si>
  <si>
    <t>Produtos Diversos</t>
  </si>
  <si>
    <t>AMOB3</t>
  </si>
  <si>
    <t>AUTOMOB PARTICIPAÇÕES S.A.</t>
  </si>
  <si>
    <t>35.654.688/0001-08</t>
  </si>
  <si>
    <t>Automóveis e Motocicletas</t>
  </si>
  <si>
    <t>ANIM3</t>
  </si>
  <si>
    <t>ANIMA HOLDING S.A.</t>
  </si>
  <si>
    <t>09.288.252/0001-32</t>
  </si>
  <si>
    <t>Serviços Educacionais</t>
  </si>
  <si>
    <t>APER3</t>
  </si>
  <si>
    <t>ALPER CONSULTORIA E CORRETORA DE SEGUROS S.A.</t>
  </si>
  <si>
    <t>11.721.921/0001-60</t>
  </si>
  <si>
    <t>Corretoras de Seguros e Resseguros</t>
  </si>
  <si>
    <t>APTI4</t>
  </si>
  <si>
    <t>ALIPERTI S.A.</t>
  </si>
  <si>
    <t>61.156.931/0001-78</t>
  </si>
  <si>
    <t>ARML3</t>
  </si>
  <si>
    <t>ARMAC LOCAÇÃO. LOGÍSTICA E SERVIÇOS S.A.</t>
  </si>
  <si>
    <t>00.242.184/0001-04</t>
  </si>
  <si>
    <t>ARND3</t>
  </si>
  <si>
    <t>ARANDU INVESTIMENTOS S.A.</t>
  </si>
  <si>
    <t>14.127.813/0001-51</t>
  </si>
  <si>
    <t>Holdings Diversificadas</t>
  </si>
  <si>
    <t>ARZZ3</t>
  </si>
  <si>
    <t>AREZZO INDÚSTRIA E COMÉRCIO S.A.</t>
  </si>
  <si>
    <t>16.590.234/0001-76</t>
  </si>
  <si>
    <t>ASAI3</t>
  </si>
  <si>
    <t>SENDAS DISTRIBUIDORA S.A.</t>
  </si>
  <si>
    <t>06.057.223/0001-71</t>
  </si>
  <si>
    <t>Alimentos</t>
  </si>
  <si>
    <t>ATED3</t>
  </si>
  <si>
    <t>ATOM EDUCAÇÃO E EDITORA S.A.</t>
  </si>
  <si>
    <t>23.994.857/0001-70</t>
  </si>
  <si>
    <t>ATMP3</t>
  </si>
  <si>
    <t>CONTAX PARTICIPAÇÕES S.A</t>
  </si>
  <si>
    <t>04.032.433/0001-80</t>
  </si>
  <si>
    <t>ATOM3</t>
  </si>
  <si>
    <t>FICTOR ALIMENTOS S.A</t>
  </si>
  <si>
    <t>00.359.742/0001-08</t>
  </si>
  <si>
    <t>Outros</t>
  </si>
  <si>
    <t>AURE3</t>
  </si>
  <si>
    <t>AUREN ENERGIA S.A.</t>
  </si>
  <si>
    <t>28.594.234/0001-23</t>
  </si>
  <si>
    <t>AVLL3</t>
  </si>
  <si>
    <t>ALPHAVILLE S.A.</t>
  </si>
  <si>
    <t>16.811.931/0001-00</t>
  </si>
  <si>
    <t>Incorporações</t>
  </si>
  <si>
    <t>AXIA3</t>
  </si>
  <si>
    <t>CENTRAIS ELET BRAS S.A. - ELETROBRAS</t>
  </si>
  <si>
    <t>00.001.180/0001-26</t>
  </si>
  <si>
    <t>AXIA5</t>
  </si>
  <si>
    <t>AXIA6</t>
  </si>
  <si>
    <t>AZEV3</t>
  </si>
  <si>
    <t>AZEVEDO E TRAVASSOS S.A.</t>
  </si>
  <si>
    <t>61.351.532/0001-68</t>
  </si>
  <si>
    <t>Construção Pesada</t>
  </si>
  <si>
    <t>AZEV4</t>
  </si>
  <si>
    <t>AZTE3</t>
  </si>
  <si>
    <t>AZEVEDO &amp; TRAVASSOS ENERGIA S.A.</t>
  </si>
  <si>
    <t>52.017.473/0001-03</t>
  </si>
  <si>
    <t>Exploração. Refino e Distribuição</t>
  </si>
  <si>
    <t>Petróleo. Gás e Biocombustíveis</t>
  </si>
  <si>
    <t>AZUL4</t>
  </si>
  <si>
    <t>AZUL S.A.</t>
  </si>
  <si>
    <t>09.305.994/0001-29</t>
  </si>
  <si>
    <t>Transporte Aéreo</t>
  </si>
  <si>
    <t>AZUL54</t>
  </si>
  <si>
    <t>AZZA3</t>
  </si>
  <si>
    <t>AZZAS 2154 S.A.</t>
  </si>
  <si>
    <t>BAHI3</t>
  </si>
  <si>
    <t>BAHEMA EDUCAÇÃO S.A.</t>
  </si>
  <si>
    <t>45.987.245/0001-92</t>
  </si>
  <si>
    <t>BALM3</t>
  </si>
  <si>
    <t>BAUMER S.A.</t>
  </si>
  <si>
    <t>61.374.161/0001-30</t>
  </si>
  <si>
    <t>Equipamentos</t>
  </si>
  <si>
    <t>BALM4</t>
  </si>
  <si>
    <t>BAUH4</t>
  </si>
  <si>
    <t>EXCELSIOR ALIMENTOS S.A.</t>
  </si>
  <si>
    <t>95.426.862/0001-97</t>
  </si>
  <si>
    <t>Carnes e Derivados</t>
  </si>
  <si>
    <t>BAZA3</t>
  </si>
  <si>
    <t>BCO AMAZONIA S.A.</t>
  </si>
  <si>
    <t>04.902.979/0001-44</t>
  </si>
  <si>
    <t>BBAS3</t>
  </si>
  <si>
    <t>BCO BRASIL S.A.</t>
  </si>
  <si>
    <t>BBDC3</t>
  </si>
  <si>
    <t>BCO BRADESCO S.A.</t>
  </si>
  <si>
    <t>60.746.948/0001-12</t>
  </si>
  <si>
    <t>BBDC4</t>
  </si>
  <si>
    <t>BBSE3</t>
  </si>
  <si>
    <t>BB SEGURIDADE PARTICIPAÇÕES S.A.</t>
  </si>
  <si>
    <t>17.344.597/0001-94</t>
  </si>
  <si>
    <t>Seguradoras</t>
  </si>
  <si>
    <t>BDLL3</t>
  </si>
  <si>
    <t>BARDELLA S.A. INDUSTRIAS MECANICAS</t>
  </si>
  <si>
    <t>60.851.615/0001-53</t>
  </si>
  <si>
    <t>BDLL4</t>
  </si>
  <si>
    <t>BEEF3</t>
  </si>
  <si>
    <t>MINERVA S.A.</t>
  </si>
  <si>
    <t>67.620.377/0001-14</t>
  </si>
  <si>
    <t>BEES3</t>
  </si>
  <si>
    <t>BANESTES S.A. - BCO EST ESPIRITO SANTO</t>
  </si>
  <si>
    <t>28.127.603/0001-78</t>
  </si>
  <si>
    <t>BEES4</t>
  </si>
  <si>
    <t>BGIP3</t>
  </si>
  <si>
    <t>BCO ESTADO DE SERGIPE S.A. - BANESE</t>
  </si>
  <si>
    <t>13.009.717/0001-46</t>
  </si>
  <si>
    <t>BGIP4</t>
  </si>
  <si>
    <t>BHIA3</t>
  </si>
  <si>
    <t>GRUPO CASAS BAHIA S.A.</t>
  </si>
  <si>
    <t>33.041.260/0652-90</t>
  </si>
  <si>
    <t>BIED3</t>
  </si>
  <si>
    <t>BIOMA EDUCAÇÃO S.A.</t>
  </si>
  <si>
    <t>BIOM3</t>
  </si>
  <si>
    <t>BIOMM S.A.</t>
  </si>
  <si>
    <t>04.752.991/0001-10</t>
  </si>
  <si>
    <t>Medicamentos e Outros Produtos</t>
  </si>
  <si>
    <t>BLAU3</t>
  </si>
  <si>
    <t>BLAU FARMACÊUTICA S.A.</t>
  </si>
  <si>
    <t>58.430.828/0001-60</t>
  </si>
  <si>
    <t>BMEB3</t>
  </si>
  <si>
    <t>BCO MERCANTIL DO BRASIL S.A.</t>
  </si>
  <si>
    <t>17.184.037/0001-10</t>
  </si>
  <si>
    <t>BMEB4</t>
  </si>
  <si>
    <t>BMGB4</t>
  </si>
  <si>
    <t>BANCO BMG S.A.</t>
  </si>
  <si>
    <t>61.186.680/0001-74</t>
  </si>
  <si>
    <t>BMIN3</t>
  </si>
  <si>
    <t>BCO MERCANTIL DE INVESTIMENTOS S.A.</t>
  </si>
  <si>
    <t>34.169.557/0001-72</t>
  </si>
  <si>
    <t>BMIN4</t>
  </si>
  <si>
    <t>BMKS3</t>
  </si>
  <si>
    <t>BICICLETAS MONARK S.A.</t>
  </si>
  <si>
    <t>56.992.423/0001-90</t>
  </si>
  <si>
    <t>Bicicletas</t>
  </si>
  <si>
    <t>BMOB3</t>
  </si>
  <si>
    <t>BEMOBI MOBILE TECH S.A.</t>
  </si>
  <si>
    <t>09.042.817/0001-05</t>
  </si>
  <si>
    <t>Programas e Serviços</t>
  </si>
  <si>
    <t>Tecnologia da Informação</t>
  </si>
  <si>
    <t>BNBR3</t>
  </si>
  <si>
    <t>BCO NORDESTE DO BRASIL S.A.</t>
  </si>
  <si>
    <t>07.237.373/0001-20</t>
  </si>
  <si>
    <t>BOBR3</t>
  </si>
  <si>
    <t>BOMBRIL S.A.</t>
  </si>
  <si>
    <t>50.564.053/0001-03</t>
  </si>
  <si>
    <t>Produtos de Limpeza</t>
  </si>
  <si>
    <t>BOBR4</t>
  </si>
  <si>
    <t>BPAC11</t>
  </si>
  <si>
    <t>BCO BTG PACTUAL S.A.</t>
  </si>
  <si>
    <t>30.306.294/0001-45</t>
  </si>
  <si>
    <t>BPAC3</t>
  </si>
  <si>
    <t>BPAC5</t>
  </si>
  <si>
    <t>BPAN4</t>
  </si>
  <si>
    <t>BCO PAN S.A.</t>
  </si>
  <si>
    <t>59.285.411/0001-13</t>
  </si>
  <si>
    <t>BPAR3</t>
  </si>
  <si>
    <t>BCO ESTADO DO PARA S.A.</t>
  </si>
  <si>
    <t>04.913.711/0001-08</t>
  </si>
  <si>
    <t>BRAP3</t>
  </si>
  <si>
    <t>BRADESPAR S.A.</t>
  </si>
  <si>
    <t>03.847.461/0001-92</t>
  </si>
  <si>
    <t>Minerais Metálicos</t>
  </si>
  <si>
    <t>Materiais Básicos</t>
  </si>
  <si>
    <t>BRAP4</t>
  </si>
  <si>
    <t>BRAV3</t>
  </si>
  <si>
    <t>BRAVA ENERGIA S.A.</t>
  </si>
  <si>
    <t>12.091.809/0001-55</t>
  </si>
  <si>
    <t>BRBI11</t>
  </si>
  <si>
    <t>BRBI BR PARTNERS S.A.</t>
  </si>
  <si>
    <t>10.739.356/0001-03</t>
  </si>
  <si>
    <t>BRFS3</t>
  </si>
  <si>
    <t>BRF S.A.</t>
  </si>
  <si>
    <t>01.838.723/0001-27</t>
  </si>
  <si>
    <t>BRGE3</t>
  </si>
  <si>
    <t>CONSORCIO ALFA DE ADMINISTRACAO S.A.</t>
  </si>
  <si>
    <t>17.193.806/0001-46</t>
  </si>
  <si>
    <t>BRGE5</t>
  </si>
  <si>
    <t>BRGE6</t>
  </si>
  <si>
    <t>BRIT3</t>
  </si>
  <si>
    <t>BRISANET PARTICIPAÇÕES S.A.</t>
  </si>
  <si>
    <t>19.796.586/0001-70</t>
  </si>
  <si>
    <t>Telecomunicações</t>
  </si>
  <si>
    <t>Comunicações</t>
  </si>
  <si>
    <t>BRIV3</t>
  </si>
  <si>
    <t>BCO ALFA DE INVESTIMENTO S.A.</t>
  </si>
  <si>
    <t>60.770.336/0001-65</t>
  </si>
  <si>
    <t>BRIV4</t>
  </si>
  <si>
    <t>BRKM3</t>
  </si>
  <si>
    <t>BRASKEM S.A.</t>
  </si>
  <si>
    <t>42.150.391/0001-70</t>
  </si>
  <si>
    <t>Petroquímicos</t>
  </si>
  <si>
    <t>BRKM5</t>
  </si>
  <si>
    <t>BRKM6</t>
  </si>
  <si>
    <t>BRSR3</t>
  </si>
  <si>
    <t>BCO ESTADO DO RIO GRANDE DO SUL S.A.</t>
  </si>
  <si>
    <t>92.702.067/0001-96</t>
  </si>
  <si>
    <t>BRSR5</t>
  </si>
  <si>
    <t>BRSR6</t>
  </si>
  <si>
    <t>BRST3</t>
  </si>
  <si>
    <t>BRISANET SERVIÇOS DE TELECOMUNICAÇÕES S.A.</t>
  </si>
  <si>
    <t>04.601.397/0001-28</t>
  </si>
  <si>
    <t>BSLI3</t>
  </si>
  <si>
    <t>BRB BCO DE BRASILIA S.A.</t>
  </si>
  <si>
    <t>00.000.208/0001-00</t>
  </si>
  <si>
    <t>BSLI4</t>
  </si>
  <si>
    <t>CALI3</t>
  </si>
  <si>
    <t>CONSTRUTORA ADOLPHO LINDENBERG S.A.</t>
  </si>
  <si>
    <t>61.022.042/0001-18</t>
  </si>
  <si>
    <t>CAMB3</t>
  </si>
  <si>
    <t>CAMBUCI S.A.</t>
  </si>
  <si>
    <t>61.088.894/0001-08</t>
  </si>
  <si>
    <t>CAML3</t>
  </si>
  <si>
    <t>CAMIL ALIMENTOS S.A.</t>
  </si>
  <si>
    <t>64.904.295/0001-03</t>
  </si>
  <si>
    <t>Alimentos Diversos</t>
  </si>
  <si>
    <t>CASH3</t>
  </si>
  <si>
    <t>MÉLIUZ S.A.</t>
  </si>
  <si>
    <t>14.110.585/0001-07</t>
  </si>
  <si>
    <t>CASN3</t>
  </si>
  <si>
    <t>CIA CATARINENSE DE AGUAS E SANEAM.-CASAN</t>
  </si>
  <si>
    <t>82.508.433/0001-17</t>
  </si>
  <si>
    <t>CASN4</t>
  </si>
  <si>
    <t>CBAV3</t>
  </si>
  <si>
    <t>COMPANHIA BRASILEIRA DE ALUMÍNIO</t>
  </si>
  <si>
    <t>61.409.892/0001-73</t>
  </si>
  <si>
    <t>CBEE3</t>
  </si>
  <si>
    <t>AMPLA ENERGIA E SERVICOS S.A.</t>
  </si>
  <si>
    <t>33.050.071/0001-58</t>
  </si>
  <si>
    <t>CCRO3</t>
  </si>
  <si>
    <t>MOTIVA INFRAESTRUTURA DE MOBILIDADE S.A.</t>
  </si>
  <si>
    <t>02.846.056/0001-97</t>
  </si>
  <si>
    <t>Exploração de Rodovias</t>
  </si>
  <si>
    <t>CCTY3</t>
  </si>
  <si>
    <t>BELORA RDVC CITY DESENVOLVIMENTO IMOBILIÁRIO S.A.</t>
  </si>
  <si>
    <t>52.805.925/0001-03</t>
  </si>
  <si>
    <t>CEAB3</t>
  </si>
  <si>
    <t>CEA MODAS S.A.</t>
  </si>
  <si>
    <t>45.242.914/0001-05</t>
  </si>
  <si>
    <t>CEBR3</t>
  </si>
  <si>
    <t>CIA ENERGETICA DE BRASILIA</t>
  </si>
  <si>
    <t>00.070.698/0001-11</t>
  </si>
  <si>
    <t>CEBR5</t>
  </si>
  <si>
    <t>CEBR6</t>
  </si>
  <si>
    <t>CEDO3</t>
  </si>
  <si>
    <t>CIA FIACAO TECIDOS CEDRO CACHOEIRA</t>
  </si>
  <si>
    <t>17.245.234/0001-00</t>
  </si>
  <si>
    <t>Fios e Tecidos</t>
  </si>
  <si>
    <t>CEDO4</t>
  </si>
  <si>
    <t>CEEB3</t>
  </si>
  <si>
    <t>CIA ELETRICIDADE EST. DA BAHIA - COELBA</t>
  </si>
  <si>
    <t>15.139.629/0001-94</t>
  </si>
  <si>
    <t>CEEB5</t>
  </si>
  <si>
    <t>CEED3</t>
  </si>
  <si>
    <t>CIA ESTADUAL DE DISTRIB ENER ELET-CEEE-D</t>
  </si>
  <si>
    <t>08.467.115/0001-00</t>
  </si>
  <si>
    <t>CEED4</t>
  </si>
  <si>
    <t>CEGR3</t>
  </si>
  <si>
    <t>CIA DISTRIB DE GAS DO RIO DE JANEIRO-CEG</t>
  </si>
  <si>
    <t>33.938.119/0001-69</t>
  </si>
  <si>
    <t>Gás</t>
  </si>
  <si>
    <t>CGAS3</t>
  </si>
  <si>
    <t>CIA GAS DE SAO PAULO - COMGAS</t>
  </si>
  <si>
    <t>61.856.571/0001-17</t>
  </si>
  <si>
    <t>CGAS5</t>
  </si>
  <si>
    <t>CGRA3</t>
  </si>
  <si>
    <t>GRAZZIOTIN S.A.</t>
  </si>
  <si>
    <t>92.012.467/0001-70</t>
  </si>
  <si>
    <t>CGRA4</t>
  </si>
  <si>
    <t>CIEL3</t>
  </si>
  <si>
    <t>CIELO S.A. - INSTITUIÇÃO DE PAGAMENTO</t>
  </si>
  <si>
    <t>01.027.058/0001-91</t>
  </si>
  <si>
    <t>Serviços Financeiros Diversos</t>
  </si>
  <si>
    <t>CLSA3</t>
  </si>
  <si>
    <t>CLEAR SALE S.A.</t>
  </si>
  <si>
    <t>03.802.115/0001-98</t>
  </si>
  <si>
    <t>CLSC3</t>
  </si>
  <si>
    <t>CENTRAIS ELET DE SANTA CATARINA S.A.</t>
  </si>
  <si>
    <t>83.878.892/0001-55</t>
  </si>
  <si>
    <t>CLSC4</t>
  </si>
  <si>
    <t>CMIG3</t>
  </si>
  <si>
    <t>CIA ENERGETICA DE MINAS GERAIS - CEMIG</t>
  </si>
  <si>
    <t>17.155.730/0001-64</t>
  </si>
  <si>
    <t>CMIG4</t>
  </si>
  <si>
    <t>CMIN3</t>
  </si>
  <si>
    <t>CSN MINERAÇÃO S.A.</t>
  </si>
  <si>
    <t>08.902.291/0001-15</t>
  </si>
  <si>
    <t>COCE3</t>
  </si>
  <si>
    <t>CIA ENERGETICA DO CEARA - COELCE</t>
  </si>
  <si>
    <t>07.047.251/0001-70</t>
  </si>
  <si>
    <t>COCE5</t>
  </si>
  <si>
    <t>COCE6</t>
  </si>
  <si>
    <t>COGN3</t>
  </si>
  <si>
    <t>COGNA EDUCAÇÃO S.A.</t>
  </si>
  <si>
    <t>02.800.026/0001-40</t>
  </si>
  <si>
    <t>CORR3</t>
  </si>
  <si>
    <t>CORREA RIBEIRO S.A. COMERCIO E INDUSTRIA</t>
  </si>
  <si>
    <t>15.101.405/0001-93</t>
  </si>
  <si>
    <t>CORR4</t>
  </si>
  <si>
    <t>CPFE3</t>
  </si>
  <si>
    <t>CPFL ENERGIA S.A.</t>
  </si>
  <si>
    <t>02.429.144/0001-93</t>
  </si>
  <si>
    <t>CPLE3</t>
  </si>
  <si>
    <t>CIA PARANAENSE DE ENERGIA - COPEL</t>
  </si>
  <si>
    <t>76.483.817/0001-20</t>
  </si>
  <si>
    <t>CPLE5</t>
  </si>
  <si>
    <t>CPLE6</t>
  </si>
  <si>
    <t>CRFB3</t>
  </si>
  <si>
    <t>ATACADÃO S.A.</t>
  </si>
  <si>
    <t>75.315.333/0001-09</t>
  </si>
  <si>
    <t>CRIV3</t>
  </si>
  <si>
    <t>FINANCEIRA ALFA S.A.- CRED FINANC E INVS</t>
  </si>
  <si>
    <t>17.167.412/0001-13</t>
  </si>
  <si>
    <t>Soc. Crédito e Financiamento</t>
  </si>
  <si>
    <t>CRIV4</t>
  </si>
  <si>
    <t>CRPG3</t>
  </si>
  <si>
    <t>TRONOX PIGMENTOS DO BRASIL S.A.</t>
  </si>
  <si>
    <t>15.115.504/0001-24</t>
  </si>
  <si>
    <t>Químicos Diversos</t>
  </si>
  <si>
    <t>CRPG5</t>
  </si>
  <si>
    <t>CRPG6</t>
  </si>
  <si>
    <t>CSAN3</t>
  </si>
  <si>
    <t>COSAN S.A.</t>
  </si>
  <si>
    <t>50.746.577/0001-15</t>
  </si>
  <si>
    <t>CSED3</t>
  </si>
  <si>
    <t>CRUZEIRO DO SUL EDUCACIONAL S.A.</t>
  </si>
  <si>
    <t>62.984.091/0001-02</t>
  </si>
  <si>
    <t>CSMG3</t>
  </si>
  <si>
    <t>CIA SANEAMENTO DE MINAS GERAIS-COPASA MG</t>
  </si>
  <si>
    <t>17.281.106/0001-03</t>
  </si>
  <si>
    <t>CSNA3</t>
  </si>
  <si>
    <t>CIA SIDERURGICA NACIONAL</t>
  </si>
  <si>
    <t>33.042.730/0001-04</t>
  </si>
  <si>
    <t>Siderurgia</t>
  </si>
  <si>
    <t>CSRN3</t>
  </si>
  <si>
    <t>CIA ENERGETICA DO RIO GDE NORTE - COSERN</t>
  </si>
  <si>
    <t>08.324.196/0001-81</t>
  </si>
  <si>
    <t>CSRN5</t>
  </si>
  <si>
    <t>CSRN6</t>
  </si>
  <si>
    <t>CSUD3</t>
  </si>
  <si>
    <t>CSU DIGITAL S.A.</t>
  </si>
  <si>
    <t>01.896.779/0001-38</t>
  </si>
  <si>
    <t>CTAX3</t>
  </si>
  <si>
    <t>CTKA3</t>
  </si>
  <si>
    <t>KARSTEN S.A.</t>
  </si>
  <si>
    <t>82.640.558/0001-04</t>
  </si>
  <si>
    <t>CTKA4</t>
  </si>
  <si>
    <t>CTNM3</t>
  </si>
  <si>
    <t>CIA TECIDOS NORTE DE MINAS COTEMINAS</t>
  </si>
  <si>
    <t>22.677.520/0001-76</t>
  </si>
  <si>
    <t>CTNM4</t>
  </si>
  <si>
    <t>CTSA3</t>
  </si>
  <si>
    <t>CIA TECIDOS SANTANENSE</t>
  </si>
  <si>
    <t>21.255.567/0001-89</t>
  </si>
  <si>
    <t>CTSA4</t>
  </si>
  <si>
    <t>CURY3</t>
  </si>
  <si>
    <t>CURY CONSTRUTORA E INCORPORADORA S.A.</t>
  </si>
  <si>
    <t>08.797.760/0001-83</t>
  </si>
  <si>
    <t>CVCB3</t>
  </si>
  <si>
    <t>CVC BRASIL OPERADORA E AGÊNCIA DE VIAGENS S.A.</t>
  </si>
  <si>
    <t>10.760.260/0001-19</t>
  </si>
  <si>
    <t>Viagens e Turismo</t>
  </si>
  <si>
    <t>CXSE3</t>
  </si>
  <si>
    <t>CAIXA SEGURIDADE PARTICIPAÇÕES S.A.</t>
  </si>
  <si>
    <t>22.543.331/0001-00</t>
  </si>
  <si>
    <t>CYRE3</t>
  </si>
  <si>
    <t>CYRELA BRAZIL REALTY S.A.EMPREEND E PART</t>
  </si>
  <si>
    <t>73.178.600/0001-18</t>
  </si>
  <si>
    <t>DASA3</t>
  </si>
  <si>
    <t>DIAGNOSTICOS DA AMERICA S.A.</t>
  </si>
  <si>
    <t>61.486.650/0001-83</t>
  </si>
  <si>
    <t>DESK3</t>
  </si>
  <si>
    <t>DESKTOP S.A.</t>
  </si>
  <si>
    <t>08.170.849/0001-15</t>
  </si>
  <si>
    <t>DEXP3</t>
  </si>
  <si>
    <t>DEXXOS PARTICIPACOES S.A.</t>
  </si>
  <si>
    <t>02.193.750/0001-52</t>
  </si>
  <si>
    <t>DEXP4</t>
  </si>
  <si>
    <t>DIRR3</t>
  </si>
  <si>
    <t>DIRECIONAL ENGENHARIA S.A.</t>
  </si>
  <si>
    <t>16.614.075/0001-00</t>
  </si>
  <si>
    <t>DMFN3</t>
  </si>
  <si>
    <t>DM FINANCEIRA S.A. - CRÉDITO. FINANC E INVEST</t>
  </si>
  <si>
    <t>91.669.747/0001-92</t>
  </si>
  <si>
    <t>DMVF3</t>
  </si>
  <si>
    <t>D1000 VAREJO FARMA PARTICIPAÇÕES S.A.</t>
  </si>
  <si>
    <t>12.108.897/0001-50</t>
  </si>
  <si>
    <t>DOHL3</t>
  </si>
  <si>
    <t>DOHLER S.A.</t>
  </si>
  <si>
    <t>84.683.408/0001-03</t>
  </si>
  <si>
    <t>DOHL4</t>
  </si>
  <si>
    <t>DOTZ3</t>
  </si>
  <si>
    <t>DOTZ S.A.</t>
  </si>
  <si>
    <t>18.174.270/0001-84</t>
  </si>
  <si>
    <t>Programas de Fidelização</t>
  </si>
  <si>
    <t>DTCY3</t>
  </si>
  <si>
    <t>DTCOM - DIRECT TO COMPANY S.A.</t>
  </si>
  <si>
    <t>03.303.999/0001-36</t>
  </si>
  <si>
    <t>DXCO3</t>
  </si>
  <si>
    <t>DEXCO S.A.</t>
  </si>
  <si>
    <t>97.837.181/0001-47</t>
  </si>
  <si>
    <t>Madeira</t>
  </si>
  <si>
    <t>EALT3</t>
  </si>
  <si>
    <t>ELECTRO ACO ALTONA S.A.</t>
  </si>
  <si>
    <t>82.643.537/0001-34</t>
  </si>
  <si>
    <t>EALT4</t>
  </si>
  <si>
    <t>ECOR3</t>
  </si>
  <si>
    <t>ECORODOVIAS INFRAESTRUTURA E LOGÍSTICA S.A.</t>
  </si>
  <si>
    <t>04.149.454/0001-80</t>
  </si>
  <si>
    <t>EGIE3</t>
  </si>
  <si>
    <t>ENGIE BRASIL ENERGIA S.A.</t>
  </si>
  <si>
    <t>02.474.103/0001-19</t>
  </si>
  <si>
    <t>EKTR3</t>
  </si>
  <si>
    <t>ELEKTRO REDES S.A.</t>
  </si>
  <si>
    <t>02.328.280/0001-97</t>
  </si>
  <si>
    <t>EKTR4</t>
  </si>
  <si>
    <t>ELET3</t>
  </si>
  <si>
    <t>ELET5</t>
  </si>
  <si>
    <t>ELET6</t>
  </si>
  <si>
    <t>ELMD3</t>
  </si>
  <si>
    <t>ELETROMIDIA S.A.</t>
  </si>
  <si>
    <t>09.347.516/0001-81</t>
  </si>
  <si>
    <t>Publicidade e Propaganda</t>
  </si>
  <si>
    <t>EMAE3</t>
  </si>
  <si>
    <t>EMAE - EMPRESA METROP.AGUAS ENERGIA S.A.</t>
  </si>
  <si>
    <t>02.302.101/0001-42</t>
  </si>
  <si>
    <t>EMAE4</t>
  </si>
  <si>
    <t>EMBJ3</t>
  </si>
  <si>
    <t>EMBRAER S.A.</t>
  </si>
  <si>
    <t>07.689.002/0001-89</t>
  </si>
  <si>
    <t>Material Aeronáutico e de Defesa</t>
  </si>
  <si>
    <t>EMBR3</t>
  </si>
  <si>
    <t>ENAT3</t>
  </si>
  <si>
    <t>ENAUTA PARTICIPAÇÕES S.A.</t>
  </si>
  <si>
    <t>11.669.021/0001-10</t>
  </si>
  <si>
    <t>ENEV3</t>
  </si>
  <si>
    <t>ENEVA S.A</t>
  </si>
  <si>
    <t>04.423.567/0001-21</t>
  </si>
  <si>
    <t>ENGI11</t>
  </si>
  <si>
    <t>ENERGISA S.A.</t>
  </si>
  <si>
    <t>00.864.214/0001-06</t>
  </si>
  <si>
    <t>ENGI3</t>
  </si>
  <si>
    <t>ENGI4</t>
  </si>
  <si>
    <t>ENJU3</t>
  </si>
  <si>
    <t>ENJOEI S.A.</t>
  </si>
  <si>
    <t>16.922.038/0001-51</t>
  </si>
  <si>
    <t>ENMT3</t>
  </si>
  <si>
    <t>ENERGISA MATO GROSSO-DISTRIBUIDORA DE ENERGIA S/A</t>
  </si>
  <si>
    <t>03.467.321/0001-99</t>
  </si>
  <si>
    <t>ENMT4</t>
  </si>
  <si>
    <t>EPAR3</t>
  </si>
  <si>
    <t>EMBPAR PARTICIPACOES S.A.</t>
  </si>
  <si>
    <t>42.331.462/0001-31</t>
  </si>
  <si>
    <t>EQPA3</t>
  </si>
  <si>
    <t>EQUATORIAL PARA DISTRIBUIDORA DE ENERGIA S.A.</t>
  </si>
  <si>
    <t>04.895.728/0001-80</t>
  </si>
  <si>
    <t>EQPA5</t>
  </si>
  <si>
    <t>EQPA6</t>
  </si>
  <si>
    <t>EQTL3</t>
  </si>
  <si>
    <t>EQUATORIAL S.A.</t>
  </si>
  <si>
    <t>03.220.438/0001-73</t>
  </si>
  <si>
    <t>ESPA3</t>
  </si>
  <si>
    <t>MPM CORPÓREOS S.A.</t>
  </si>
  <si>
    <t>26.659.061/0001-59</t>
  </si>
  <si>
    <t>Produtos de Uso Pessoal</t>
  </si>
  <si>
    <t>ESTR3</t>
  </si>
  <si>
    <t>MANUFATURA DE BRINQUEDOS ESTRELA S.A.</t>
  </si>
  <si>
    <t>61.082.004/0001-50</t>
  </si>
  <si>
    <t>Brinquedos e Jogos</t>
  </si>
  <si>
    <t>ESTR4</t>
  </si>
  <si>
    <t>ETER3</t>
  </si>
  <si>
    <t>ETERNIT S.A.</t>
  </si>
  <si>
    <t>61.092.037/0001-81</t>
  </si>
  <si>
    <t>Produtos para Construção</t>
  </si>
  <si>
    <t>EUCA3</t>
  </si>
  <si>
    <t>EUCATEX S.A. INDUSTRIA E COMERCIO</t>
  </si>
  <si>
    <t>56.643.018/0001-66</t>
  </si>
  <si>
    <t>EUCA4</t>
  </si>
  <si>
    <t>EVEN3</t>
  </si>
  <si>
    <t>EVEN CONSTRUTORA E INCORPORADORA S.A.</t>
  </si>
  <si>
    <t>43.470.988/0001-65</t>
  </si>
  <si>
    <t>EZTC3</t>
  </si>
  <si>
    <t>EZ TEC EMPREEND. E PARTICIPACOES S.A.</t>
  </si>
  <si>
    <t>08.312.229/0001-73</t>
  </si>
  <si>
    <t>FESA3</t>
  </si>
  <si>
    <t>CIA FERRO LIGAS DA BAHIA - FERBASA</t>
  </si>
  <si>
    <t>15.141.799/0001-03</t>
  </si>
  <si>
    <t>FESA4</t>
  </si>
  <si>
    <t>FHER3</t>
  </si>
  <si>
    <t>FERTILIZANTES HERINGER S.A.</t>
  </si>
  <si>
    <t>22.266.175/0001-88</t>
  </si>
  <si>
    <t>Fertilizantes e Defensivos</t>
  </si>
  <si>
    <t>FICT3</t>
  </si>
  <si>
    <t>FIEI3</t>
  </si>
  <si>
    <t>FICA EMPREENDIMENTOS IMOBILIÁRIOS S.A</t>
  </si>
  <si>
    <t>07.820.907/0001-46</t>
  </si>
  <si>
    <t>FIGE3</t>
  </si>
  <si>
    <t>INVESTIMENTOS BEMGE S.A.</t>
  </si>
  <si>
    <t>01.548.981/0001-79</t>
  </si>
  <si>
    <t>Outros Intermediarios Financeiros</t>
  </si>
  <si>
    <t>FIGE4</t>
  </si>
  <si>
    <t>FIQE3</t>
  </si>
  <si>
    <t>UNIFIQUE TELECOMUNICAÇÕES S.A.</t>
  </si>
  <si>
    <t>02.255.187/0001-08</t>
  </si>
  <si>
    <t>FLRY3</t>
  </si>
  <si>
    <t>FLEURY S.A.</t>
  </si>
  <si>
    <t>60.840.055/0001-31</t>
  </si>
  <si>
    <t>FRAS3</t>
  </si>
  <si>
    <t>FRAS-LE S.A.</t>
  </si>
  <si>
    <t>88.610.126/0001-29</t>
  </si>
  <si>
    <t>Material Rodoviário</t>
  </si>
  <si>
    <t>FRIO3</t>
  </si>
  <si>
    <t>METALFRIO SOLUTIONS S.A.</t>
  </si>
  <si>
    <t>04.821.041/0001-08</t>
  </si>
  <si>
    <t>FRTA3</t>
  </si>
  <si>
    <t>POMIFRUTAS S/A</t>
  </si>
  <si>
    <t>86.550.951/0001-50</t>
  </si>
  <si>
    <t>GEPA3</t>
  </si>
  <si>
    <t>RIO PARANAPANEMA ENERGIA S.A.</t>
  </si>
  <si>
    <t>02.998.301/0001-81</t>
  </si>
  <si>
    <t>GEPA4</t>
  </si>
  <si>
    <t>GFSA11</t>
  </si>
  <si>
    <t>GAFISA S.A.</t>
  </si>
  <si>
    <t>01.545.826/0001-07</t>
  </si>
  <si>
    <t>GFSA3</t>
  </si>
  <si>
    <t>GGBR3</t>
  </si>
  <si>
    <t>GERDAU S.A.</t>
  </si>
  <si>
    <t>33.611.500/0001-19</t>
  </si>
  <si>
    <t>GGBR4</t>
  </si>
  <si>
    <t>GGPS3</t>
  </si>
  <si>
    <t>GPS PARTICIPACOES E EMPREENDIMENTOS S.A.</t>
  </si>
  <si>
    <t>09.229.201/0001-30</t>
  </si>
  <si>
    <t>GMAT3</t>
  </si>
  <si>
    <t>GRUPO MATEUS S.A.</t>
  </si>
  <si>
    <t>24.990.777/0001-09</t>
  </si>
  <si>
    <t>GOAU3</t>
  </si>
  <si>
    <t>METALURGICA GERDAU S.A.</t>
  </si>
  <si>
    <t>92.690.783/0001-09</t>
  </si>
  <si>
    <t>GOAU4</t>
  </si>
  <si>
    <t>GOLL4</t>
  </si>
  <si>
    <t>GOL LINHAS AEREAS INTELIGENTES S.A.</t>
  </si>
  <si>
    <t>06.164.253/0001-87</t>
  </si>
  <si>
    <t>GOLL54</t>
  </si>
  <si>
    <t>GPAR3</t>
  </si>
  <si>
    <t>CIA CELG DE PARTICIPACOES - CELGPAR</t>
  </si>
  <si>
    <t>08.560.444/0001-93</t>
  </si>
  <si>
    <t>GRND3</t>
  </si>
  <si>
    <t>GRENDENE S.A.</t>
  </si>
  <si>
    <t>89.850.341/0001-60</t>
  </si>
  <si>
    <t>GSHP3</t>
  </si>
  <si>
    <t>GENERAL SHOPPING E OUTLETS DO BRASIL S.A.</t>
  </si>
  <si>
    <t>08.764.621/0001-53</t>
  </si>
  <si>
    <t>GUAR3</t>
  </si>
  <si>
    <t>GUARARAPES CONFECCOES S.A.</t>
  </si>
  <si>
    <t>08.402.943/0001-52</t>
  </si>
  <si>
    <t>HAGA3</t>
  </si>
  <si>
    <t>HAGA S.A. INDUSTRIA E COMERCIO</t>
  </si>
  <si>
    <t>30.540.991/0001-66</t>
  </si>
  <si>
    <t>Artefatos de Ferro e Aço</t>
  </si>
  <si>
    <t>HAGA4</t>
  </si>
  <si>
    <t>HAPV3</t>
  </si>
  <si>
    <t>HAPVIDA PARTICIPACOES E INVESTIMENTOS SA</t>
  </si>
  <si>
    <t>05.197.443/0001-38</t>
  </si>
  <si>
    <t>HBOR3</t>
  </si>
  <si>
    <t>HELBOR EMPREENDIMENTOS S.A.</t>
  </si>
  <si>
    <t>49.263.189/0001-02</t>
  </si>
  <si>
    <t>HBRE3</t>
  </si>
  <si>
    <t>HBR REALTY EMPREENDIMENTOS IMOBILIARIOS S/A</t>
  </si>
  <si>
    <t>14.785.152/0001-51</t>
  </si>
  <si>
    <t>HBSA3</t>
  </si>
  <si>
    <t>HIDROVIAS DO BRASIL S.A.</t>
  </si>
  <si>
    <t>12.648.327/0001-53</t>
  </si>
  <si>
    <t>Transporte Hidroviário</t>
  </si>
  <si>
    <t>HBTS5</t>
  </si>
  <si>
    <t>CIA HABITASUL DE PARTICIPACOES</t>
  </si>
  <si>
    <t>87.762.563/0001-03</t>
  </si>
  <si>
    <t>HETA3</t>
  </si>
  <si>
    <t>HERCULES S.A. FABRICA DE TALHERES</t>
  </si>
  <si>
    <t>92.749.225/0001-63</t>
  </si>
  <si>
    <t>Utensílios Domésticos</t>
  </si>
  <si>
    <t>HETA4</t>
  </si>
  <si>
    <t>HOOT4</t>
  </si>
  <si>
    <t>HOTEIS OTHON S.A.</t>
  </si>
  <si>
    <t>33.200.049/0001-47</t>
  </si>
  <si>
    <t>Hotelaria</t>
  </si>
  <si>
    <t>HYPE3</t>
  </si>
  <si>
    <t>HYPERA S.A.</t>
  </si>
  <si>
    <t>02.932.074/0001-91</t>
  </si>
  <si>
    <t>IFCM3</t>
  </si>
  <si>
    <t>INFRACOMMERCE CXAAS S.A.</t>
  </si>
  <si>
    <t>38.456.921/0001-36</t>
  </si>
  <si>
    <t>IGTI11</t>
  </si>
  <si>
    <t>IGUATEMI S.A.</t>
  </si>
  <si>
    <t>60.543.816/0001-93</t>
  </si>
  <si>
    <t>IGTI3</t>
  </si>
  <si>
    <t>IGTI4</t>
  </si>
  <si>
    <t>INEP3</t>
  </si>
  <si>
    <t>INEPAR S.A. INDUSTRIA E CONSTRUCOES</t>
  </si>
  <si>
    <t>76.627.504/0001-06</t>
  </si>
  <si>
    <t>INEP4</t>
  </si>
  <si>
    <t>INTB3</t>
  </si>
  <si>
    <t>INTELBRAS S.A. IND DE TELEC ELETRONICA BRASILEIRA</t>
  </si>
  <si>
    <t>IRBR3</t>
  </si>
  <si>
    <t>IRB - BRASIL RESSEGUROS S.A.</t>
  </si>
  <si>
    <t>33.376.989/0001-91</t>
  </si>
  <si>
    <t>Resseguradoras</t>
  </si>
  <si>
    <t>ISAE3</t>
  </si>
  <si>
    <t>ISA ENERGIA BRASIL S.A</t>
  </si>
  <si>
    <t>02.998.611/0001-04</t>
  </si>
  <si>
    <t>ISAE4</t>
  </si>
  <si>
    <t>ITSA3</t>
  </si>
  <si>
    <t>ITAUSA S.A.</t>
  </si>
  <si>
    <t>61.532.644/0001-15</t>
  </si>
  <si>
    <t>ITSA4</t>
  </si>
  <si>
    <t>ITUB3</t>
  </si>
  <si>
    <t>ITAU UNIBANCO HOLDING S.A.</t>
  </si>
  <si>
    <t>60.872.504/0001-23</t>
  </si>
  <si>
    <t>ITUB4</t>
  </si>
  <si>
    <t>JALL3</t>
  </si>
  <si>
    <t>JALLES MACHADO S.A.</t>
  </si>
  <si>
    <t>02.635.522/0001-95</t>
  </si>
  <si>
    <t>Açucar e Alcool</t>
  </si>
  <si>
    <t>JFEN3</t>
  </si>
  <si>
    <t>JOAO FORTES ENGENHARIA S.A.</t>
  </si>
  <si>
    <t>33.035.536/0001-00</t>
  </si>
  <si>
    <t>JHSF3</t>
  </si>
  <si>
    <t>JHSF PARTICIPACOES S.A.</t>
  </si>
  <si>
    <t>08.294.224/0001-65</t>
  </si>
  <si>
    <t>JOPA3</t>
  </si>
  <si>
    <t>JOSAPAR-JOAQUIM OLIVEIRA S.A. - PARTICIP</t>
  </si>
  <si>
    <t>87.456.562/0001-22</t>
  </si>
  <si>
    <t>JOPA4</t>
  </si>
  <si>
    <t>JSLG3</t>
  </si>
  <si>
    <t>JSL S.A.</t>
  </si>
  <si>
    <t>52.548.435/0001-79</t>
  </si>
  <si>
    <t>Transporte Rodoviário</t>
  </si>
  <si>
    <t>KEPL3</t>
  </si>
  <si>
    <t>KEPLER WEBER S.A.</t>
  </si>
  <si>
    <t>91.983.056/0001-69</t>
  </si>
  <si>
    <t>KLBN11</t>
  </si>
  <si>
    <t>KLABIN S.A.</t>
  </si>
  <si>
    <t>89.637.490/0001-45</t>
  </si>
  <si>
    <t>Papel e Celulose</t>
  </si>
  <si>
    <t>KLBN3</t>
  </si>
  <si>
    <t>KLBN4</t>
  </si>
  <si>
    <t>KRSA3</t>
  </si>
  <si>
    <t>KORA SAÚDE PARTICIPAÇÕES S.A</t>
  </si>
  <si>
    <t>13.270.520/0001-66</t>
  </si>
  <si>
    <t>LAND3</t>
  </si>
  <si>
    <t>TERRA SANTA PROPRIEDADES AGRICOLAS S.A.</t>
  </si>
  <si>
    <t>40.337.136/0001-06</t>
  </si>
  <si>
    <t>LAVV3</t>
  </si>
  <si>
    <t>LAVVI EMPREENDIMENTOS IMOBILIÁRIOS S.A.</t>
  </si>
  <si>
    <t>26.462.693/0001-28</t>
  </si>
  <si>
    <t>LEVE3</t>
  </si>
  <si>
    <t>MAHLE-METAL LEVE S.A.</t>
  </si>
  <si>
    <t>60.476.884/0001-87</t>
  </si>
  <si>
    <t>LIGT3</t>
  </si>
  <si>
    <t>LIGHT S.A.</t>
  </si>
  <si>
    <t>03.378.521/0001-75</t>
  </si>
  <si>
    <t>LIPR3</t>
  </si>
  <si>
    <t>ELETROBRÁS PARTICIPAÇÕES S.A. - ELETROPAR</t>
  </si>
  <si>
    <t>01.104.937/0001-70</t>
  </si>
  <si>
    <t>LJQQ3</t>
  </si>
  <si>
    <t>LOJAS QUERO-QUERO S/A</t>
  </si>
  <si>
    <t>96.418.264/0218-02</t>
  </si>
  <si>
    <t>LOGG3</t>
  </si>
  <si>
    <t>LOG COMMERCIAL PROPERTIES</t>
  </si>
  <si>
    <t>09.041.168/0001-10</t>
  </si>
  <si>
    <t>LOGN3</t>
  </si>
  <si>
    <t>LOG-IN LOGISTICA INTERMODAL S.A.</t>
  </si>
  <si>
    <t>42.278.291/0001-24</t>
  </si>
  <si>
    <t>LPSB3</t>
  </si>
  <si>
    <t>LPS BRASIL - CONSULTORIA DE IMOVEIS S.A.</t>
  </si>
  <si>
    <t>08.078.847/0001-09</t>
  </si>
  <si>
    <t>Intermediação Imobiliária</t>
  </si>
  <si>
    <t>LREN3</t>
  </si>
  <si>
    <t>LOJAS RENNER S.A.</t>
  </si>
  <si>
    <t>92.754.738/0001-62</t>
  </si>
  <si>
    <t>LUPA3</t>
  </si>
  <si>
    <t>LUPATECH S.A.</t>
  </si>
  <si>
    <t>89.463.822/0001-12</t>
  </si>
  <si>
    <t>Equipamentos e Serviços</t>
  </si>
  <si>
    <t>LUXM3</t>
  </si>
  <si>
    <t>TREVISA INVESTIMENTOS S.A.</t>
  </si>
  <si>
    <t>92.660.570/0001-26</t>
  </si>
  <si>
    <t>LUXM4</t>
  </si>
  <si>
    <t>LVTC3</t>
  </si>
  <si>
    <t>LIVETECH DA BAHIA INDUSTRIA E COMERCIO S/A</t>
  </si>
  <si>
    <t>05.917.486/0001-40</t>
  </si>
  <si>
    <t>LWSA3</t>
  </si>
  <si>
    <t>LWSA S.A.</t>
  </si>
  <si>
    <t>02.351.877/0001-52</t>
  </si>
  <si>
    <t>MAPT3</t>
  </si>
  <si>
    <t>CEMEPE INVESTIMENTOS S.A.</t>
  </si>
  <si>
    <t>93.828.986/0001-73</t>
  </si>
  <si>
    <t>MAPT4</t>
  </si>
  <si>
    <t>MATD3</t>
  </si>
  <si>
    <t>HOSPITAL MATER DEI S/A</t>
  </si>
  <si>
    <t>16.676.520/0001-59</t>
  </si>
  <si>
    <t>MBLY3</t>
  </si>
  <si>
    <t>GRUPO TOKY S.A.</t>
  </si>
  <si>
    <t>31.553.627/0001-01</t>
  </si>
  <si>
    <t>Móveis</t>
  </si>
  <si>
    <t>MBRF3</t>
  </si>
  <si>
    <t>MARFRIG GLOBAL FOODS S.A.</t>
  </si>
  <si>
    <t>03.853.896/0001-40</t>
  </si>
  <si>
    <t>MDIA3</t>
  </si>
  <si>
    <t>M.DIAS BRANCO S.A. IND COM DE ALIMENTOS</t>
  </si>
  <si>
    <t>07.206.816/0001-15</t>
  </si>
  <si>
    <t>MDNE3</t>
  </si>
  <si>
    <t>MOURA DUBEUX ENGENHARIA S/A</t>
  </si>
  <si>
    <t>12.049.631/0001-84</t>
  </si>
  <si>
    <t>MEAL3</t>
  </si>
  <si>
    <t>INTERNATIONAL MEAL COMPANY ALIMENTACAO S.A.</t>
  </si>
  <si>
    <t>17.314.329/0001-20</t>
  </si>
  <si>
    <t>Restaurante e Similares</t>
  </si>
  <si>
    <t>MELK3</t>
  </si>
  <si>
    <t>MELNICK DESENVOLVIMENTO IMOBILIÁRIO S.A.</t>
  </si>
  <si>
    <t>12.181.987/0001-77</t>
  </si>
  <si>
    <t>MERC3</t>
  </si>
  <si>
    <t>MERCANTIL FINANCEIRA S.A.  CRED. FINANC. E INVEST</t>
  </si>
  <si>
    <t>33.040.601/0001-87</t>
  </si>
  <si>
    <t>MERC4</t>
  </si>
  <si>
    <t>MGEL3</t>
  </si>
  <si>
    <t>MANGELS INDUSTRIAL S.A.</t>
  </si>
  <si>
    <t>61.065.298/0001-02</t>
  </si>
  <si>
    <t>MGEL4</t>
  </si>
  <si>
    <t>MGLU3</t>
  </si>
  <si>
    <t>MAGAZINE LUIZA S.A.</t>
  </si>
  <si>
    <t>47.960.950/0001-21</t>
  </si>
  <si>
    <t>MILS3</t>
  </si>
  <si>
    <t>MILLS LOCAÇÃO. SERVIÇOS E LOGÍSTICA S.A</t>
  </si>
  <si>
    <t>27.093.558/0001-15</t>
  </si>
  <si>
    <t>MLAS3</t>
  </si>
  <si>
    <t>GRUPO MULTI S.A.</t>
  </si>
  <si>
    <t>59.717.553/0001-02</t>
  </si>
  <si>
    <t>Computadores e Equipamentos</t>
  </si>
  <si>
    <t>MMAQ3</t>
  </si>
  <si>
    <t>MINASMAQUINAS S.A.</t>
  </si>
  <si>
    <t>17.161.241/0001-15</t>
  </si>
  <si>
    <t>Material de Transporte</t>
  </si>
  <si>
    <t>MMAQ4</t>
  </si>
  <si>
    <t>MNDL3</t>
  </si>
  <si>
    <t>MUNDIAL S.A. - PRODUTOS DE CONSUMO</t>
  </si>
  <si>
    <t>88.610.191/0001-54</t>
  </si>
  <si>
    <t>Acessórios</t>
  </si>
  <si>
    <t>MNPR3</t>
  </si>
  <si>
    <t>MINUPAR PARTICIPACOES S.A.</t>
  </si>
  <si>
    <t>90.076.886/0001-40</t>
  </si>
  <si>
    <t>MOAR3</t>
  </si>
  <si>
    <t>MONTEIRO ARANHA S.A.</t>
  </si>
  <si>
    <t>33.102.476/0001-92</t>
  </si>
  <si>
    <t>MOTV3</t>
  </si>
  <si>
    <t>MOVI3</t>
  </si>
  <si>
    <t>MOVIDA PARTICIPACOES SA</t>
  </si>
  <si>
    <t>21.314.559/0001-66</t>
  </si>
  <si>
    <t>Aluguel de carros</t>
  </si>
  <si>
    <t>MRFG3</t>
  </si>
  <si>
    <t>MRVE3</t>
  </si>
  <si>
    <t>MRV ENGENHARIA E PARTICIPACOES S.A.</t>
  </si>
  <si>
    <t>08.343.492/0001-20</t>
  </si>
  <si>
    <t>MSPA3</t>
  </si>
  <si>
    <t>CIA MELHORAMENTOS DE SAO PAULO</t>
  </si>
  <si>
    <t>60.730.348/0001-66</t>
  </si>
  <si>
    <t>MSPA4</t>
  </si>
  <si>
    <t>MTRE3</t>
  </si>
  <si>
    <t>MITRE REALTY EMPREENDIMENTOS E PARTICIPAÇÕES S.A.</t>
  </si>
  <si>
    <t>07.882.930/0001-65</t>
  </si>
  <si>
    <t>MTSA3</t>
  </si>
  <si>
    <t>METISA METALURGICA TIMBOENSE S.A.</t>
  </si>
  <si>
    <t>86.375.425/0001-09</t>
  </si>
  <si>
    <t>Máq. e Equip. Construção e Agrícolas</t>
  </si>
  <si>
    <t>MTSA4</t>
  </si>
  <si>
    <t>MULT3</t>
  </si>
  <si>
    <t>MULTIPLAN - EMPREEND IMOBILIARIOS S.A.</t>
  </si>
  <si>
    <t>07.816.890/0001-53</t>
  </si>
  <si>
    <t>MWET3</t>
  </si>
  <si>
    <t>WETZEL S.A.</t>
  </si>
  <si>
    <t>84.683.671/0001-94</t>
  </si>
  <si>
    <t>MWET4</t>
  </si>
  <si>
    <t>MYPK3</t>
  </si>
  <si>
    <t>IOCHPE MAXION S.A.</t>
  </si>
  <si>
    <t>61.156.113/0001-75</t>
  </si>
  <si>
    <t>NATU3</t>
  </si>
  <si>
    <t>NATURA COSMETICOS S.A.</t>
  </si>
  <si>
    <t>71.673.990/0001-77</t>
  </si>
  <si>
    <t>NEOE3</t>
  </si>
  <si>
    <t>NEOENERGIA S.A.</t>
  </si>
  <si>
    <t>01.083.200/0001-18</t>
  </si>
  <si>
    <t>NEXP3</t>
  </si>
  <si>
    <t>NEXPE PARTICIPAÇÕES S.A</t>
  </si>
  <si>
    <t>08.613.550/0001-98</t>
  </si>
  <si>
    <t>NGRD3</t>
  </si>
  <si>
    <t>NEOGRID PARTICIPACOES S.A.</t>
  </si>
  <si>
    <t>10.139.870/0001-08</t>
  </si>
  <si>
    <t>NINJ3</t>
  </si>
  <si>
    <t>REAG INVESTIMENTOS S.A.</t>
  </si>
  <si>
    <t>NORD3</t>
  </si>
  <si>
    <t>NORDON INDUSTRIAS METALURGICAS S.A.</t>
  </si>
  <si>
    <t>60.884.319/0001-59</t>
  </si>
  <si>
    <t>NTCO3</t>
  </si>
  <si>
    <t>NATURA &amp;CO HOLDING S.A.</t>
  </si>
  <si>
    <t>32.785.497/0001-97</t>
  </si>
  <si>
    <t>NUTR3</t>
  </si>
  <si>
    <t>NUTRIPLANT INDUSTRIA E COMERCIO S.A.</t>
  </si>
  <si>
    <t>51.128.999/0001-90</t>
  </si>
  <si>
    <t>OBTC3</t>
  </si>
  <si>
    <t>ORANJEBTC S.A. - EDUCAÇÃO E INVESTIMENTO</t>
  </si>
  <si>
    <t>59.693.110/0001-29</t>
  </si>
  <si>
    <t>ODER4</t>
  </si>
  <si>
    <t>CONSERVAS ODERICH S.A.</t>
  </si>
  <si>
    <t>97.191.902/0001-94</t>
  </si>
  <si>
    <t>ODPV3</t>
  </si>
  <si>
    <t>ODONTOPREV S.A.</t>
  </si>
  <si>
    <t>58.119.199/0001-51</t>
  </si>
  <si>
    <t>OFSA3</t>
  </si>
  <si>
    <t>OUROFINO S.A.</t>
  </si>
  <si>
    <t>20.258.278/0001-70</t>
  </si>
  <si>
    <t>OIBR3</t>
  </si>
  <si>
    <t>OI S.A.</t>
  </si>
  <si>
    <t>76.535.764/0001-43</t>
  </si>
  <si>
    <t>OIBR4</t>
  </si>
  <si>
    <t>ONCO3</t>
  </si>
  <si>
    <t>ONCOCLINICAS DO BRASIL SERVICOS MEDICOS S.A.</t>
  </si>
  <si>
    <t>12.104.241/0004-02</t>
  </si>
  <si>
    <t>OPCT3</t>
  </si>
  <si>
    <t>OCEANPACT SERVICOS MARITIMOS S.A.</t>
  </si>
  <si>
    <t>09.114.805/0001-30</t>
  </si>
  <si>
    <t>ORVR3</t>
  </si>
  <si>
    <t>ORIZON VALORIZACAO DE RESIDUOS S.A.</t>
  </si>
  <si>
    <t>11.421.994/0001-36</t>
  </si>
  <si>
    <t>OSXB3</t>
  </si>
  <si>
    <t>OSX BRASIL S.A.</t>
  </si>
  <si>
    <t>09.112.685/0001-32</t>
  </si>
  <si>
    <t>PATI3</t>
  </si>
  <si>
    <t>PANATLANTICA S.A.</t>
  </si>
  <si>
    <t>92.693.019/0001-89</t>
  </si>
  <si>
    <t>PATI4</t>
  </si>
  <si>
    <t>PCAR3</t>
  </si>
  <si>
    <t>CIA BRASILEIRA DE DISTRIBUICAO</t>
  </si>
  <si>
    <t>47.508.411/0001-56</t>
  </si>
  <si>
    <t>PDGR3</t>
  </si>
  <si>
    <t>PDG REALTY S.A. EMPREEND E PARTICIPACOES</t>
  </si>
  <si>
    <t>02.950.811/0001-89</t>
  </si>
  <si>
    <t>PDTC3</t>
  </si>
  <si>
    <t>PADTEC HOLDING S.A.</t>
  </si>
  <si>
    <t>02.365.069/0001-44</t>
  </si>
  <si>
    <t>PEAB3</t>
  </si>
  <si>
    <t>CIA PARTICIPACOES ALIANCA DA BAHIA</t>
  </si>
  <si>
    <t>01.938.783/0001-11</t>
  </si>
  <si>
    <t>PEAB4</t>
  </si>
  <si>
    <t>PETR3</t>
  </si>
  <si>
    <t>PETROLEO BRASILEIRO S.A. PETROBRAS</t>
  </si>
  <si>
    <t>33.000.167/0001-01</t>
  </si>
  <si>
    <t>PETR4</t>
  </si>
  <si>
    <t>PETZ3</t>
  </si>
  <si>
    <t>PET CENTER COMERCIO E PARTICIPACOES S.A.</t>
  </si>
  <si>
    <t>18.328.118/0001-09</t>
  </si>
  <si>
    <t>PFRM3</t>
  </si>
  <si>
    <t>PROFARMA DISTRIB PROD FARMACEUTICOS S.A.</t>
  </si>
  <si>
    <t>45.453.214/0001-51</t>
  </si>
  <si>
    <t>PGMN3</t>
  </si>
  <si>
    <t>EMPREENDIMENTOS PAGUE MENOS S.A.</t>
  </si>
  <si>
    <t>06.626.253/0001-51</t>
  </si>
  <si>
    <t>PINE3</t>
  </si>
  <si>
    <t>BCO PINE S.A.</t>
  </si>
  <si>
    <t>62.144.175/0001-20</t>
  </si>
  <si>
    <t>PINE4</t>
  </si>
  <si>
    <t>PLAS3</t>
  </si>
  <si>
    <t>PLASCAR PARTICIPACOES INDUSTRIAIS S.A.</t>
  </si>
  <si>
    <t>51.928.174/0001-50</t>
  </si>
  <si>
    <t>PLPL3</t>
  </si>
  <si>
    <t>PLANO &amp; PLANO DESENVOLVIMENTO IMOBILIÁRIO S.A.</t>
  </si>
  <si>
    <t>24.230.275/0001-80</t>
  </si>
  <si>
    <t>PMAM3</t>
  </si>
  <si>
    <t>PARANAPANEMA S.A.</t>
  </si>
  <si>
    <t>60.398.369/0004-79</t>
  </si>
  <si>
    <t>Artefatos de Cobre</t>
  </si>
  <si>
    <t>PNVL3</t>
  </si>
  <si>
    <t>DIMED S.A. DISTRIBUIDORA DE MEDICAMENTOS</t>
  </si>
  <si>
    <t>92.665.611/0001-77</t>
  </si>
  <si>
    <t>POMO3</t>
  </si>
  <si>
    <t>MARCOPOLO S.A.</t>
  </si>
  <si>
    <t>88.611.835/0001-29</t>
  </si>
  <si>
    <t>POMO4</t>
  </si>
  <si>
    <t>PORT3</t>
  </si>
  <si>
    <t>WILSON SONS S.A.</t>
  </si>
  <si>
    <t>33.130.691/0001-05</t>
  </si>
  <si>
    <t>Serviços de Apoio e Armazenagem</t>
  </si>
  <si>
    <t>POSI3</t>
  </si>
  <si>
    <t>POSITIVO TECNOLOGIA S.A.</t>
  </si>
  <si>
    <t>81.243.735/0001-48</t>
  </si>
  <si>
    <t>PRIO3</t>
  </si>
  <si>
    <t>PRIO S.A.</t>
  </si>
  <si>
    <t>10.629.105/0001-68</t>
  </si>
  <si>
    <t>PRNR3</t>
  </si>
  <si>
    <t>PRINER SERVIÇOS INDUSTRIAIS S.A.</t>
  </si>
  <si>
    <t>18.593.815/0001-97</t>
  </si>
  <si>
    <t>PSSA3</t>
  </si>
  <si>
    <t>PORTO SEGURO S.A.</t>
  </si>
  <si>
    <t>02.149.205/0001-69</t>
  </si>
  <si>
    <t>PTBL3</t>
  </si>
  <si>
    <t>PBG S/A</t>
  </si>
  <si>
    <t>83.475.913/0001-91</t>
  </si>
  <si>
    <t>PTNT3</t>
  </si>
  <si>
    <t>PETTENATI S.A. INDUSTRIA TEXTIL</t>
  </si>
  <si>
    <t>88.613.658/0001-10</t>
  </si>
  <si>
    <t>PTNT4</t>
  </si>
  <si>
    <t>QUAL3</t>
  </si>
  <si>
    <t>QUALICORP CONSULTORIA E CORRETORA DE SEGUROS S.A.</t>
  </si>
  <si>
    <t>11.992.680/0001-93</t>
  </si>
  <si>
    <t>RADL3</t>
  </si>
  <si>
    <t>RAIA DROGASIL S.A.</t>
  </si>
  <si>
    <t>61.585.865/0001-51</t>
  </si>
  <si>
    <t>RAIL3</t>
  </si>
  <si>
    <t>RUMO S.A.</t>
  </si>
  <si>
    <t>02.387.241/0001-60</t>
  </si>
  <si>
    <t>Transporte Ferroviário</t>
  </si>
  <si>
    <t>RAIZ4</t>
  </si>
  <si>
    <t>RAIZEN S.A.</t>
  </si>
  <si>
    <t>33.453.598/0001-23</t>
  </si>
  <si>
    <t>RANI3</t>
  </si>
  <si>
    <t>IRANI PAPEL E EMBALAGEM S.A.</t>
  </si>
  <si>
    <t>92.791.243/0001-03</t>
  </si>
  <si>
    <t>Embalagens</t>
  </si>
  <si>
    <t>RAPT3</t>
  </si>
  <si>
    <t>RANDONCORP S.A.</t>
  </si>
  <si>
    <t>89.086.144/0001-16</t>
  </si>
  <si>
    <t>RAPT4</t>
  </si>
  <si>
    <t>RCSL3</t>
  </si>
  <si>
    <t>RECRUSUL S.A.</t>
  </si>
  <si>
    <t>91.333.666/0001-17</t>
  </si>
  <si>
    <t>RCSL4</t>
  </si>
  <si>
    <t>RDNI3</t>
  </si>
  <si>
    <t>RNI NEGÓCIOS IMOBILIÁRIOS S.A.</t>
  </si>
  <si>
    <t>67.010.660/0001-24</t>
  </si>
  <si>
    <t>RDOR3</t>
  </si>
  <si>
    <t>REDE DOR SÃO LUIZ S.A.</t>
  </si>
  <si>
    <t>06.047.087/0001-39</t>
  </si>
  <si>
    <t>REAG3</t>
  </si>
  <si>
    <t>RECV3</t>
  </si>
  <si>
    <t>PETRORECÔNCAVO S.A.</t>
  </si>
  <si>
    <t>03.342.704/0001-30</t>
  </si>
  <si>
    <t>REDE3</t>
  </si>
  <si>
    <t>REDE ENERGIA PARTICIPAÇÕES S.A.</t>
  </si>
  <si>
    <t>61.584.140/0001-49</t>
  </si>
  <si>
    <t>RENT3</t>
  </si>
  <si>
    <t>LOCALIZA RENT A CAR S.A.</t>
  </si>
  <si>
    <t>16.670.085/0001-55</t>
  </si>
  <si>
    <t>RIOS3</t>
  </si>
  <si>
    <t>RIO ALTO ENERGIAS RENOVÁVEIS S.A.</t>
  </si>
  <si>
    <t>38.199.406/0001-18</t>
  </si>
  <si>
    <t>RNEW11</t>
  </si>
  <si>
    <t>RENOVA ENERGIA S.A.</t>
  </si>
  <si>
    <t>08.534.605/0001-74</t>
  </si>
  <si>
    <t>RNEW3</t>
  </si>
  <si>
    <t>RNEW4</t>
  </si>
  <si>
    <t>ROMI3</t>
  </si>
  <si>
    <t>ROMI S.A.</t>
  </si>
  <si>
    <t>56.720.428/0001-63</t>
  </si>
  <si>
    <t>RPAD3</t>
  </si>
  <si>
    <t>ALFA HOLDINGS S.A.</t>
  </si>
  <si>
    <t>17.167.396/0001-69</t>
  </si>
  <si>
    <t>RPAD5</t>
  </si>
  <si>
    <t>RPAD6</t>
  </si>
  <si>
    <t>RPMG3</t>
  </si>
  <si>
    <t>REFINARIA DE PETROLEOS MANGUINHOS S.A.</t>
  </si>
  <si>
    <t>33.412.081/0001-96</t>
  </si>
  <si>
    <t>RRRP3</t>
  </si>
  <si>
    <t>3R PETROLEUM ÓLEO E GÁS S.A</t>
  </si>
  <si>
    <t>RSID3</t>
  </si>
  <si>
    <t>ROSSI RESIDENCIAL S.A.</t>
  </si>
  <si>
    <t>61.065.751/0001-80</t>
  </si>
  <si>
    <t>RSUL4</t>
  </si>
  <si>
    <t>METALURGICA RIOSULENSE S.A.</t>
  </si>
  <si>
    <t>85.778.074/0001-06</t>
  </si>
  <si>
    <t>RVEE3</t>
  </si>
  <si>
    <t>REVEE S.A.</t>
  </si>
  <si>
    <t>52.841.191/0001-18</t>
  </si>
  <si>
    <t>SANB11</t>
  </si>
  <si>
    <t>BCO SANTANDER (BRASIL) S.A.</t>
  </si>
  <si>
    <t>90.400.888/0001-42</t>
  </si>
  <si>
    <t>SANB3</t>
  </si>
  <si>
    <t>SANB4</t>
  </si>
  <si>
    <t>SAPR11</t>
  </si>
  <si>
    <t>CIA SANEAMENTO DO PARANA - SANEPAR</t>
  </si>
  <si>
    <t>76.484.013/0001-45</t>
  </si>
  <si>
    <t>SAPR3</t>
  </si>
  <si>
    <t>SAPR4</t>
  </si>
  <si>
    <t>SBFG3</t>
  </si>
  <si>
    <t>GRUPO SBF SA</t>
  </si>
  <si>
    <t>13.217.485/0001-11</t>
  </si>
  <si>
    <t>SBSP3</t>
  </si>
  <si>
    <t>CIA SANEAMENTO BASICO EST SAO PAULO</t>
  </si>
  <si>
    <t>43.776.517/0001-80</t>
  </si>
  <si>
    <t>SCAR3</t>
  </si>
  <si>
    <t>SAO CARLOS EMPREEND E PARTICIPACOES S.A.</t>
  </si>
  <si>
    <t>29.780.061/0001-09</t>
  </si>
  <si>
    <t>SEER3</t>
  </si>
  <si>
    <t>SER EDUCACIONAL S.A.</t>
  </si>
  <si>
    <t>04.986.320/0001-13</t>
  </si>
  <si>
    <t>SEQL3</t>
  </si>
  <si>
    <t>SEQUOIA LOGISTICA E TRANSPORTES S.A</t>
  </si>
  <si>
    <t>01.599.101/0001-93</t>
  </si>
  <si>
    <t>SGPS3</t>
  </si>
  <si>
    <t>SPRINGS GLOBAL PARTICIPACOES S.A.</t>
  </si>
  <si>
    <t>07.718.269/0001-57</t>
  </si>
  <si>
    <t>SHOW3</t>
  </si>
  <si>
    <t>T4F ENTRETENIMENTO S.A.</t>
  </si>
  <si>
    <t>02.860.694/0001-62</t>
  </si>
  <si>
    <t>SHUL3</t>
  </si>
  <si>
    <t>SCHULZ S.A.</t>
  </si>
  <si>
    <t>84.693.183/0001-68</t>
  </si>
  <si>
    <t>Motores . Compressores e Outros</t>
  </si>
  <si>
    <t>SHUL4</t>
  </si>
  <si>
    <t>SIMH3</t>
  </si>
  <si>
    <t>SIMPAR S.A.</t>
  </si>
  <si>
    <t>07.415.333/0001-20</t>
  </si>
  <si>
    <t>SLCE3</t>
  </si>
  <si>
    <t>SLC AGRICOLA S.A.</t>
  </si>
  <si>
    <t>89.096.457/0001-55</t>
  </si>
  <si>
    <t>SMFT3</t>
  </si>
  <si>
    <t>SMARTFIT ESCOLA DE GINÁSTICA E DANÇA S.A.</t>
  </si>
  <si>
    <t>07.594.978/0001-78</t>
  </si>
  <si>
    <t>Atividades Esportivas</t>
  </si>
  <si>
    <t>SMTO3</t>
  </si>
  <si>
    <t>SAO MARTINHO S.A.</t>
  </si>
  <si>
    <t>51.466.860/0001-56</t>
  </si>
  <si>
    <t>SNSY3</t>
  </si>
  <si>
    <t>SANSUY S.A. INDUSTRIA DE PLASTICOS</t>
  </si>
  <si>
    <t>14.807.945/0001-24</t>
  </si>
  <si>
    <t>Materiais Diversos</t>
  </si>
  <si>
    <t>SNSY5</t>
  </si>
  <si>
    <t>SNSY6</t>
  </si>
  <si>
    <t>SOJA3</t>
  </si>
  <si>
    <t>BOA SAFRA SEMENTES S.A.</t>
  </si>
  <si>
    <t>10.807.374/0001-77</t>
  </si>
  <si>
    <t>SOMA3</t>
  </si>
  <si>
    <t>GRUPO DE MODA SOMA S.A.</t>
  </si>
  <si>
    <t>10.285.590/0001-08</t>
  </si>
  <si>
    <t>SOND3</t>
  </si>
  <si>
    <t>SONDOTECNICA ENGENHARIA SOLOS S.A.</t>
  </si>
  <si>
    <t>33.386.210/0001-19</t>
  </si>
  <si>
    <t>Engenharia Consultiva</t>
  </si>
  <si>
    <t>SOND5</t>
  </si>
  <si>
    <t>SOND6</t>
  </si>
  <si>
    <t>SRNA3</t>
  </si>
  <si>
    <t>SERENA ENERGIA S.A.</t>
  </si>
  <si>
    <t>42.500.384/0001-51</t>
  </si>
  <si>
    <t>STBP3</t>
  </si>
  <si>
    <t>SANTOS BRASIL PARTICIPACOES S.A.</t>
  </si>
  <si>
    <t>02.762.121/0001-04</t>
  </si>
  <si>
    <t>SUZB3</t>
  </si>
  <si>
    <t>SUZANO S.A.</t>
  </si>
  <si>
    <t>16.404.287/0001-55</t>
  </si>
  <si>
    <t>SYNE3</t>
  </si>
  <si>
    <t>SYN PROP E TECH S.A.</t>
  </si>
  <si>
    <t>08.801.621/0001-86</t>
  </si>
  <si>
    <t>TAEE11</t>
  </si>
  <si>
    <t>TRANSMISSORA ALIANÇA DE ENERGIA ELÉTRICA S.A.</t>
  </si>
  <si>
    <t>07.859.971/0001-30</t>
  </si>
  <si>
    <t>TAEE3</t>
  </si>
  <si>
    <t>TAEE4</t>
  </si>
  <si>
    <t>TASA3</t>
  </si>
  <si>
    <t>TAURUS ARMAS S.A.</t>
  </si>
  <si>
    <t>92.781.335/0001-02</t>
  </si>
  <si>
    <t>Armas e Munições</t>
  </si>
  <si>
    <t>TASA4</t>
  </si>
  <si>
    <t>TCSA3</t>
  </si>
  <si>
    <t>TECNISA S.A.</t>
  </si>
  <si>
    <t>08.065.557/0001-12</t>
  </si>
  <si>
    <t>TECN3</t>
  </si>
  <si>
    <t>TECHNOS S.A.</t>
  </si>
  <si>
    <t>09.295.063/0001-97</t>
  </si>
  <si>
    <t>TEKA3</t>
  </si>
  <si>
    <t>TEKA-TECELAGEM KUEHNRICH S.A.</t>
  </si>
  <si>
    <t>82.636.986/0001-55</t>
  </si>
  <si>
    <t>TEKA4</t>
  </si>
  <si>
    <t>TELB3</t>
  </si>
  <si>
    <t>TELEC BRASILEIRAS S.A. TELEBRAS</t>
  </si>
  <si>
    <t>00.336.701/0001-04</t>
  </si>
  <si>
    <t>TELB4</t>
  </si>
  <si>
    <t>TEND3</t>
  </si>
  <si>
    <t>CONSTRUTORA TENDA S.A.</t>
  </si>
  <si>
    <t>71.476.527/0001-35</t>
  </si>
  <si>
    <t>TFCO4</t>
  </si>
  <si>
    <t>TRACK &amp; FIELD CO S.A.</t>
  </si>
  <si>
    <t>59.418.806/0001-47</t>
  </si>
  <si>
    <t>Vestuário</t>
  </si>
  <si>
    <t>TGMA3</t>
  </si>
  <si>
    <t>TEGMA GESTAO LOGISTICA S.A.</t>
  </si>
  <si>
    <t>02.351.144/0001-18</t>
  </si>
  <si>
    <t>TIMS3</t>
  </si>
  <si>
    <t>TIM S.A.</t>
  </si>
  <si>
    <t>02.421.421/0001-11</t>
  </si>
  <si>
    <t>TKNO3</t>
  </si>
  <si>
    <t>TEKNO S.A. - INDUSTRIA E COMERCIO</t>
  </si>
  <si>
    <t>33.467.572/0001-34</t>
  </si>
  <si>
    <t>TKNO4</t>
  </si>
  <si>
    <t>TOKY3</t>
  </si>
  <si>
    <t>TOTS3</t>
  </si>
  <si>
    <t>TOTVS S.A.</t>
  </si>
  <si>
    <t>53.113.791/0001-22</t>
  </si>
  <si>
    <t>TPIS3</t>
  </si>
  <si>
    <t>TPI - TRIUNFO PARTICIP. E INVEST. S.A.</t>
  </si>
  <si>
    <t>03.014.553/0001-91</t>
  </si>
  <si>
    <t>TRAD3</t>
  </si>
  <si>
    <t>TC S.A.</t>
  </si>
  <si>
    <t>26.345.998/0001-50</t>
  </si>
  <si>
    <t>TRIS3</t>
  </si>
  <si>
    <t>TRISUL S.A.</t>
  </si>
  <si>
    <t>08.811.643/0001-27</t>
  </si>
  <si>
    <t>TRPL3</t>
  </si>
  <si>
    <t>TRPL4</t>
  </si>
  <si>
    <t>TTEN3</t>
  </si>
  <si>
    <t>TRÊS TENTOS AGROINDUSTRIAL S/A</t>
  </si>
  <si>
    <t>94.813.102/0001-70</t>
  </si>
  <si>
    <t>TUPY3</t>
  </si>
  <si>
    <t>TUPY S.A.</t>
  </si>
  <si>
    <t>84.683.374/0001-49</t>
  </si>
  <si>
    <t>TXRX3</t>
  </si>
  <si>
    <t>TEXTIL RENAUXVIEW S.A.</t>
  </si>
  <si>
    <t>82.982.075/0001-80</t>
  </si>
  <si>
    <t>TXRX4</t>
  </si>
  <si>
    <t>UCAS3</t>
  </si>
  <si>
    <t>UNICASA INDÚSTRIA DE MÓVEIS S.A.</t>
  </si>
  <si>
    <t>90.441.460/0001-48</t>
  </si>
  <si>
    <t>UGPA3</t>
  </si>
  <si>
    <t>ULTRAPAR PARTICIPACOES S.A.</t>
  </si>
  <si>
    <t>33.256.439/0001-39</t>
  </si>
  <si>
    <t>UNIP3</t>
  </si>
  <si>
    <t>UNIPAR CARBOCLORO S.A.</t>
  </si>
  <si>
    <t>33.958.695/0001-78</t>
  </si>
  <si>
    <t>UNIP5</t>
  </si>
  <si>
    <t>UNIP6</t>
  </si>
  <si>
    <t>USIM3</t>
  </si>
  <si>
    <t>USINAS SID DE MINAS GERAIS S.A.-USIMINAS</t>
  </si>
  <si>
    <t>60.894.730/0001-05</t>
  </si>
  <si>
    <t>USIM5</t>
  </si>
  <si>
    <t>USIM6</t>
  </si>
  <si>
    <t>VALE3</t>
  </si>
  <si>
    <t>VALE S.A.</t>
  </si>
  <si>
    <t>33.592.510/0001-54</t>
  </si>
  <si>
    <t>VAMO3</t>
  </si>
  <si>
    <t>VAMOS LOCAÇÃO DE CAMINHÕES. MÁQUINAS E EQUIP. S.A.</t>
  </si>
  <si>
    <t>23.373.000/0001-32</t>
  </si>
  <si>
    <t>VBBR3</t>
  </si>
  <si>
    <t>VIBRA ENERGIA S.A.</t>
  </si>
  <si>
    <t>34.274.233/0001-02</t>
  </si>
  <si>
    <t>Distribuição de Combustíveis</t>
  </si>
  <si>
    <t>VITT3</t>
  </si>
  <si>
    <t>VITTIA S.A.</t>
  </si>
  <si>
    <t>45.365.558/0001-09</t>
  </si>
  <si>
    <t>VIVA3</t>
  </si>
  <si>
    <t>VIVARA PARTICIPAÇOES S.A</t>
  </si>
  <si>
    <t>33.839.910/0001-11</t>
  </si>
  <si>
    <t>VIVR3</t>
  </si>
  <si>
    <t>VIVER INCORPORADORA E CONSTRUTORA S.A.</t>
  </si>
  <si>
    <t>67.571.414/0001-41</t>
  </si>
  <si>
    <t>VIVT3</t>
  </si>
  <si>
    <t>TELEFÔNICA BRASIL S.A</t>
  </si>
  <si>
    <t>02.558.157/0001-62</t>
  </si>
  <si>
    <t>VLID3</t>
  </si>
  <si>
    <t>VALID SOLUÇÕES S.A.</t>
  </si>
  <si>
    <t>33.113.309/0001-47</t>
  </si>
  <si>
    <t>VSPT3</t>
  </si>
  <si>
    <t>FERROVIA CENTRO-ATLANTICA S.A.</t>
  </si>
  <si>
    <t>00.924.429/0001-75</t>
  </si>
  <si>
    <t>VSTE3</t>
  </si>
  <si>
    <t>VESTE S.A. ESTILO</t>
  </si>
  <si>
    <t>49.669.856/0001-43</t>
  </si>
  <si>
    <t>VTRU3</t>
  </si>
  <si>
    <t>VITRU EDUCAÇÃO S.A</t>
  </si>
  <si>
    <t>20.512.706/0001-40</t>
  </si>
  <si>
    <t>VULC3</t>
  </si>
  <si>
    <t>VULCABRAS S.A.</t>
  </si>
  <si>
    <t>50.926.955/0001-42</t>
  </si>
  <si>
    <t>VVEO3</t>
  </si>
  <si>
    <t>CM HOSPITALAR S.A.</t>
  </si>
  <si>
    <t>12.420.164/0001-57</t>
  </si>
  <si>
    <t>WDCN3</t>
  </si>
  <si>
    <t>WEGE3</t>
  </si>
  <si>
    <t>WEG S.A.</t>
  </si>
  <si>
    <t>84.429.695/0001-11</t>
  </si>
  <si>
    <t>WEST3</t>
  </si>
  <si>
    <t>WESTWING COMERCIO VAREJISTA S.A.</t>
  </si>
  <si>
    <t>14.776.142/0001-50</t>
  </si>
  <si>
    <t>WHRL3</t>
  </si>
  <si>
    <t>WHIRLPOOL S.A.</t>
  </si>
  <si>
    <t>59.105.999/0001-86</t>
  </si>
  <si>
    <t>WHRL4</t>
  </si>
  <si>
    <t>WIZC3</t>
  </si>
  <si>
    <t>WIZ CO PARTICIPAÇÕES E CORRETAGEM DE SEGUROS S.A.</t>
  </si>
  <si>
    <t>42.278.473/0001-03</t>
  </si>
  <si>
    <t>WLMM3</t>
  </si>
  <si>
    <t>WLM PART. E COMÉRCIO DE MÁQUINAS E VEÍCULOS S.A.</t>
  </si>
  <si>
    <t>33.228.024/0001-51</t>
  </si>
  <si>
    <t>WLMM4</t>
  </si>
  <si>
    <t>YBRA4</t>
  </si>
  <si>
    <t>YBYRÁ CAPITAL S.A.</t>
  </si>
  <si>
    <t>02.217.319/0001-07</t>
  </si>
  <si>
    <t>YDUQ3</t>
  </si>
  <si>
    <t>YDUQS PARTICIPACOES S.A.</t>
  </si>
  <si>
    <t>08.807.432/0001-10</t>
  </si>
  <si>
    <t>ZAMP3</t>
  </si>
  <si>
    <t>ZAMP S.A.</t>
  </si>
  <si>
    <t>13.574.594/0001-96</t>
  </si>
  <si>
    <t>https://maisretorno.com/lista-acoes/</t>
  </si>
  <si>
    <t>Copiei todas as paginas na mão e colei no excel de forma desestruturada.</t>
  </si>
  <si>
    <t>Depois com python eu tratei os dados e gerei esse arquivo.</t>
  </si>
  <si>
    <t>Manutençao:</t>
  </si>
  <si>
    <t>Se tiver algum ticker que não consta na lista, pegar infos na internet e preencher manualmente.</t>
  </si>
  <si>
    <t>Deixar separado cada tipo em uma aba mesmo pois essa será minha base manual e posso add cols caso eu queira. Além do que os dfs de posição serão separados também.</t>
  </si>
  <si>
    <t>ABCP11</t>
  </si>
  <si>
    <t>FDO INV IMOB GRAND PLAZA SHOPPING</t>
  </si>
  <si>
    <t>01.201.140/0001-90</t>
  </si>
  <si>
    <t>AFHI11</t>
  </si>
  <si>
    <t>AF INVEST CRI FDO. INV. IMOB - RECEBÍVEIS IMOB.</t>
  </si>
  <si>
    <t>36.642.293/0001-58</t>
  </si>
  <si>
    <t>AIEC11</t>
  </si>
  <si>
    <t>AUTONOMY EDIFÍCIOS CORPORATIVOS FUND. INV. IMOB.</t>
  </si>
  <si>
    <t>35.765.826/0001-26</t>
  </si>
  <si>
    <t>AJFI11</t>
  </si>
  <si>
    <t>AJ MALLS FDO DE INV IMOB</t>
  </si>
  <si>
    <t>51.472.985/0001-99</t>
  </si>
  <si>
    <t>ALMI11</t>
  </si>
  <si>
    <t>FDO INV IMOB - FII TORRE ALMIRANTE</t>
  </si>
  <si>
    <t>07.122.725/0001-00</t>
  </si>
  <si>
    <t>ALZC11</t>
  </si>
  <si>
    <t>ALIANZA CRÉDITO IMOBILIÁRIO FUNDO DE INVESTIMENTO</t>
  </si>
  <si>
    <t>40.011.324/0001-40</t>
  </si>
  <si>
    <t>ALZM11</t>
  </si>
  <si>
    <t>ALIANZA MULTIESTRATÉGIA FUNDO DE INVESTIMENTO IMOB</t>
  </si>
  <si>
    <t>34.847.063/0001-08</t>
  </si>
  <si>
    <t>ALZR11</t>
  </si>
  <si>
    <t>ALIANZA TRUST RENDA IMOBILIARIA FDO INV IMOB</t>
  </si>
  <si>
    <t>28.737.771/0001-85</t>
  </si>
  <si>
    <t>ANCR11</t>
  </si>
  <si>
    <t>FDO INV IMOB - FII ANCAR IC</t>
  </si>
  <si>
    <t>07.789.135/0001-27</t>
  </si>
  <si>
    <t>APTO11</t>
  </si>
  <si>
    <t>NAVI RESIDENCIAL FUNDO DE INVESTIMENTO IMOBILIÁRIO</t>
  </si>
  <si>
    <t>42.432.327/0001-82</t>
  </si>
  <si>
    <t>APXM11</t>
  </si>
  <si>
    <t>FUNDO DE INVESTIMENTO IMOBILIÁRIO APEX MALLS - FII</t>
  </si>
  <si>
    <t>43.010.485/0001-07</t>
  </si>
  <si>
    <t>APXR11</t>
  </si>
  <si>
    <t>APEX REALTY FDO DE INV IMOB RESP LTDA</t>
  </si>
  <si>
    <t>52.446.271/0001-79</t>
  </si>
  <si>
    <t>AROA11</t>
  </si>
  <si>
    <t>AROEIRA 333 RENDA LOGÍSTICA FDO DE INV IMOB</t>
  </si>
  <si>
    <t>44.674.528/0001-11</t>
  </si>
  <si>
    <t>ARRI11</t>
  </si>
  <si>
    <t>OPEN K ATIVOS E RECEBIVEIS IMOBILIARIOS - FII</t>
  </si>
  <si>
    <t>32.006.821/0001-21</t>
  </si>
  <si>
    <t>ARXD11</t>
  </si>
  <si>
    <t>ARX DOVER RECEBÍVEIS FDO DE INV IMOB</t>
  </si>
  <si>
    <t>44.527.494/0001-32</t>
  </si>
  <si>
    <t>ASMT11</t>
  </si>
  <si>
    <t>ASA METROPOLIS FUNDO DE INVESTIMENTO IMOBILIÁRIO</t>
  </si>
  <si>
    <t>38.293.921/0001-62</t>
  </si>
  <si>
    <t>ASRF11</t>
  </si>
  <si>
    <t>ASA RETROFITS I FDO DE INV IMOB - FII</t>
  </si>
  <si>
    <t>45.188.033/0001-45</t>
  </si>
  <si>
    <t>ATSA11</t>
  </si>
  <si>
    <t>HEDGE ATRIUM SHOPPING SANTO ANDRE FDO INV IMOB</t>
  </si>
  <si>
    <t>12.809.972/0001-00</t>
  </si>
  <si>
    <t>AURB11</t>
  </si>
  <si>
    <t>ALIANZA URBAN HUB RENDA FUNDO DE INVESTIMENTO IMOB</t>
  </si>
  <si>
    <t>41.076.823/0001-88</t>
  </si>
  <si>
    <t>BARI11</t>
  </si>
  <si>
    <t>FDO INV IMOB VBI RENDIMENTOS IMOB I FII</t>
  </si>
  <si>
    <t>29.267.567/0001-00</t>
  </si>
  <si>
    <t>BBFI11</t>
  </si>
  <si>
    <t>BB FDO INV IMOB PROGRESSIVO</t>
  </si>
  <si>
    <t>07.000.400/0001-46</t>
  </si>
  <si>
    <t>BBFI11B</t>
  </si>
  <si>
    <t>BBFO11</t>
  </si>
  <si>
    <t>BB FUNDO DE FUNDOS - FDO. INV. IMOB.</t>
  </si>
  <si>
    <t>37.180.091/0001-02</t>
  </si>
  <si>
    <t>BBIG11</t>
  </si>
  <si>
    <t>BB PREMIUM MALLS FDO DE INV IMOB RESP LIM</t>
  </si>
  <si>
    <t>54.375.187/0001-37</t>
  </si>
  <si>
    <t>BBRC11</t>
  </si>
  <si>
    <t>BB RENDA CORPORATIVA FDO INV IMOB - FII</t>
  </si>
  <si>
    <t>12.681.340/0001-04</t>
  </si>
  <si>
    <t>BCFF11</t>
  </si>
  <si>
    <t>FII - FII BTG PACTUAL FUNDO DE FUNDOS RESPONS LTDA</t>
  </si>
  <si>
    <t>11.026.627/0001-38</t>
  </si>
  <si>
    <t>BCIA11</t>
  </si>
  <si>
    <t>BRADESCO CARTEIRA IMOBILIÁRIA ATIVA - FII</t>
  </si>
  <si>
    <t>20.216.935/0001-17</t>
  </si>
  <si>
    <t>BCRI11</t>
  </si>
  <si>
    <t>BANESTES RECEBÍVEIS IMOBILIÁRIOS FDO INV IMOB FII</t>
  </si>
  <si>
    <t>22.219.335/0001-38</t>
  </si>
  <si>
    <t>BICE11</t>
  </si>
  <si>
    <t>BRIO CRÉDITO ESTRUTURADO - FDO. INVEST. IMOB.</t>
  </si>
  <si>
    <t>39.332.032/0001-20</t>
  </si>
  <si>
    <t>BICR11</t>
  </si>
  <si>
    <t>INTER TÍTULOS IMOB. FDO INV. IMOB.</t>
  </si>
  <si>
    <t>34.007.109/0001-72</t>
  </si>
  <si>
    <t>BIME11</t>
  </si>
  <si>
    <t>BRIO MULTIESTRATÉGIA FDO INV IMOB</t>
  </si>
  <si>
    <t>41.081.356/0001-84</t>
  </si>
  <si>
    <t>BIPD11</t>
  </si>
  <si>
    <t>BRIO REAL ESTATE IV - FUNDO DE INVESTIMENTO IMOB</t>
  </si>
  <si>
    <t>42.869.892/0001-01</t>
  </si>
  <si>
    <t>BLCA11</t>
  </si>
  <si>
    <t>CATUAÍ VBI TRIPLE A FDO DE INV IMOB</t>
  </si>
  <si>
    <t>41.076.748/0001-55</t>
  </si>
  <si>
    <t>BLMC11</t>
  </si>
  <si>
    <t>VBI CRÉDITO IMOBILIÁRIO - FDO. INV. IMOB.</t>
  </si>
  <si>
    <t>38.294.221/0001-92</t>
  </si>
  <si>
    <t>BLMG11</t>
  </si>
  <si>
    <t>BLUEMACAW LOGÍSTICA FDO. INVEST. IMOB.</t>
  </si>
  <si>
    <t>34.081.637/0001-71</t>
  </si>
  <si>
    <t>BLMO11</t>
  </si>
  <si>
    <t>VBI OFFICE FUND II - FDO. INVEST. IMOB.</t>
  </si>
  <si>
    <t>34.895.894/0001-47</t>
  </si>
  <si>
    <t>BLMR11</t>
  </si>
  <si>
    <t>VBI RENDA + FOF FDO. INVEST. IMOB.</t>
  </si>
  <si>
    <t>36.368.869/0001-30</t>
  </si>
  <si>
    <t>BLUR11</t>
  </si>
  <si>
    <t>FUNDO DE INVESTIMENTO IMOBILIÁRIO - BLUE RECEBÍVEI</t>
  </si>
  <si>
    <t>38.051.307/0001-94</t>
  </si>
  <si>
    <t>BMLC11</t>
  </si>
  <si>
    <t>FDO INV IMOB - FII BM BRASCAN LAJES CORPORATIVAS</t>
  </si>
  <si>
    <t>14.376.247/0001-11</t>
  </si>
  <si>
    <t>BNFS11</t>
  </si>
  <si>
    <t>BANRISUL NOVAS FRONTEIRAS FDO INV IMOB - FII</t>
  </si>
  <si>
    <t>15.570.431/0001-60</t>
  </si>
  <si>
    <t>BPFF11</t>
  </si>
  <si>
    <t>FDO INV IMOB BRASIL PLURAL ABSOLUTO FDO DE FUNDOS</t>
  </si>
  <si>
    <t>17.324.357/0001-28</t>
  </si>
  <si>
    <t>BPML11</t>
  </si>
  <si>
    <t>FDO INV IMOB BTG PACTUAL SHOPPINGS</t>
  </si>
  <si>
    <t>33.046.142/0001-49</t>
  </si>
  <si>
    <t>BPRP11</t>
  </si>
  <si>
    <t>FDO INV IMOB - FII BRLPROP</t>
  </si>
  <si>
    <t>29.800.650/0001-01</t>
  </si>
  <si>
    <t>BRCO11</t>
  </si>
  <si>
    <t>BRESCO LOGÍSTICA - FDO INV IMOB</t>
  </si>
  <si>
    <t>20.748.515/0001-81</t>
  </si>
  <si>
    <t>BRCR11</t>
  </si>
  <si>
    <t>FDO INV IMOB - FII BTG PACTUAL CORP. OFFICE FUND</t>
  </si>
  <si>
    <t>08.924.783/0001-01</t>
  </si>
  <si>
    <t>BRIM11</t>
  </si>
  <si>
    <t>BRIO REAL ESTATE II - FDO INV IMOB</t>
  </si>
  <si>
    <t>23.964.843/0001-03</t>
  </si>
  <si>
    <t>BRIP11</t>
  </si>
  <si>
    <t>BRIO REAL ESTATE III FDO DE INVEST. IMOB.</t>
  </si>
  <si>
    <t>34.895.752/0001-80</t>
  </si>
  <si>
    <t>BRIX11</t>
  </si>
  <si>
    <t>BRIX FUNDO DE INVESTIMENTO IMOBILIÁRIO</t>
  </si>
  <si>
    <t>35.360.651/0001-77</t>
  </si>
  <si>
    <t>BRLA11</t>
  </si>
  <si>
    <t>FUNDO DE INVESTIMENTO IMOBILIÁRIO BRL PROP II</t>
  </si>
  <si>
    <t>35.652.278/0001-28</t>
  </si>
  <si>
    <t>BROF11</t>
  </si>
  <si>
    <t>BRPR CORPORATE OFFICES FDO DE INV IMOB</t>
  </si>
  <si>
    <t>48.978.859/0001-04</t>
  </si>
  <si>
    <t>BTAL11</t>
  </si>
  <si>
    <t>FDO. INV. IMOB. BTG PACTUAL AGRO LOGÍSTICA</t>
  </si>
  <si>
    <t>36.642.244/0001-15</t>
  </si>
  <si>
    <t>BTCI11</t>
  </si>
  <si>
    <t>FII BTG PACTUAL CRÉDITO IMOBILIÁRIO</t>
  </si>
  <si>
    <t>09.552.812/0001-14</t>
  </si>
  <si>
    <t>BTHI11</t>
  </si>
  <si>
    <t>BTG PACTUAL HOTÉIS FII</t>
  </si>
  <si>
    <t>18.308.516/0001-63</t>
  </si>
  <si>
    <t>BTLG11</t>
  </si>
  <si>
    <t>BTG PACTUAL LOGISTICA FDO INV IMOB - FII</t>
  </si>
  <si>
    <t>11.839.593/0001-09</t>
  </si>
  <si>
    <t>BTML11</t>
  </si>
  <si>
    <t>BARRA MALLS FUNDO DE INVESTIMENTO IMOBILIÁRIO</t>
  </si>
  <si>
    <t>36.501.210/0001-00</t>
  </si>
  <si>
    <t>BTRA11</t>
  </si>
  <si>
    <t>FDO INV IMOB BTG PACTUAL TERRAS AGRÍCOLAS</t>
  </si>
  <si>
    <t>41.076.607/0001-32</t>
  </si>
  <si>
    <t>BTSG11</t>
  </si>
  <si>
    <t>BTSP I FDO. INVEST. IMOB - FII</t>
  </si>
  <si>
    <t>36.098.375/0001-83</t>
  </si>
  <si>
    <t>BTSI11</t>
  </si>
  <si>
    <t>BTSP II FUNDO DE INVESTIMENTO IMOBILIÁRIO</t>
  </si>
  <si>
    <t>36.930.464/0001-44</t>
  </si>
  <si>
    <t>BTWR11</t>
  </si>
  <si>
    <t>BTOWERS FII - FUNDO DE INVESTIMENTO IMOBILIÁRIO</t>
  </si>
  <si>
    <t>20.132.453/0001-89</t>
  </si>
  <si>
    <t>BTYU11</t>
  </si>
  <si>
    <t>BTG PACTUAL YOU INC. DESENV. IMOB. FII RESP LIM</t>
  </si>
  <si>
    <t>54.645.216/0001-33</t>
  </si>
  <si>
    <t>BVAR11</t>
  </si>
  <si>
    <t>FDO INV IMOB BRASIL VAREJO - FII</t>
  </si>
  <si>
    <t>21.126.204/0001-43</t>
  </si>
  <si>
    <t>BZLI11</t>
  </si>
  <si>
    <t>BRAZIL REALTY FDO INV IMOB</t>
  </si>
  <si>
    <t>14.074.706/0001-02</t>
  </si>
  <si>
    <t>CACR11</t>
  </si>
  <si>
    <t>CARTESIA RECEBÍVEIS IMOBILIÁRIOS - FUNDO DE INVEST</t>
  </si>
  <si>
    <t>32.065.364/0001-46</t>
  </si>
  <si>
    <t>CARE11</t>
  </si>
  <si>
    <t>BRAZILIAN GRAVEYARD DEATH CARE FDO INV IMOB - FII</t>
  </si>
  <si>
    <t>13.584.584/0001-31</t>
  </si>
  <si>
    <t>CBOP11</t>
  </si>
  <si>
    <t>CASTELLO BRANCO OFFICE PARK FII - FII RESPONS LTDA</t>
  </si>
  <si>
    <t>17.144.039/0001-85</t>
  </si>
  <si>
    <t>CCME11</t>
  </si>
  <si>
    <t>CANUMA CAPITAL MULTIESTRATÉGIA FDO DE INV IMOB</t>
  </si>
  <si>
    <t>43.010.844/0001-26</t>
  </si>
  <si>
    <t>CENU11</t>
  </si>
  <si>
    <t>CENU - FDO DE INV IMOB</t>
  </si>
  <si>
    <t>37.899.356/0001-19</t>
  </si>
  <si>
    <t>CEOC11</t>
  </si>
  <si>
    <t>FDO INV IMOB - FII CEO CYRELA COMMERC. PROPERTIES</t>
  </si>
  <si>
    <t>15.799.397/0001-09</t>
  </si>
  <si>
    <t>CFHI11</t>
  </si>
  <si>
    <t>CF2 FUNDO DE INVESTIMENTO IMOBILIÁRIO</t>
  </si>
  <si>
    <t>34.508.923/0001-70</t>
  </si>
  <si>
    <t>CFII11</t>
  </si>
  <si>
    <t>CF3 FUNDO DE INVESTIMENTO IMOBILIÁRIO - FII</t>
  </si>
  <si>
    <t>41.325.993/0001-59</t>
  </si>
  <si>
    <t>CJCT11</t>
  </si>
  <si>
    <t>CIDADE JARDIM CONTINENAL TOWER FDO INV IMOB</t>
  </si>
  <si>
    <t>10.347.985/0001-80</t>
  </si>
  <si>
    <t>CLIN11</t>
  </si>
  <si>
    <t>CLAVE ÍNDICES DE PREÇOS FDO DE INV IMOB</t>
  </si>
  <si>
    <t>49.005.348/0001-60</t>
  </si>
  <si>
    <t>CNES11</t>
  </si>
  <si>
    <t>FDO INV IMOB - FII CENESP</t>
  </si>
  <si>
    <t>13.551.286/0001-45</t>
  </si>
  <si>
    <t>CPFF11</t>
  </si>
  <si>
    <t>CAPITÂNIA REIT FOF - FDO. INVEST. IMOB</t>
  </si>
  <si>
    <t>34.081.611/0001-23</t>
  </si>
  <si>
    <t>CPLG11</t>
  </si>
  <si>
    <t>CAPITÂNIA LOGÍSTICA FDO DE INV IMOB</t>
  </si>
  <si>
    <t>52.371.756/0001-40</t>
  </si>
  <si>
    <t>CPOF11</t>
  </si>
  <si>
    <t>CAPITÂNIA OFFICE FII - FDO DE INV IMOB</t>
  </si>
  <si>
    <t>48.916.699/0001-60</t>
  </si>
  <si>
    <t>CPSH11</t>
  </si>
  <si>
    <t>CAPITÂNIA SHOPPINGS FUNDO DE INVESTIMENTO IMOB</t>
  </si>
  <si>
    <t>47.896.665/0001-99</t>
  </si>
  <si>
    <t>CPTS11</t>
  </si>
  <si>
    <t>CAPITANIA SECURITIES II FDO INV IMOB - FII</t>
  </si>
  <si>
    <t>18.979.895/0001-13</t>
  </si>
  <si>
    <t>CRFF11</t>
  </si>
  <si>
    <t>CAIXA RIO BRAVO FDO DE FDOS INV IMOB II</t>
  </si>
  <si>
    <t>31.887.401/0001-39</t>
  </si>
  <si>
    <t>CTXT11</t>
  </si>
  <si>
    <t>FDO INV IMOB CENTRO TEXTIL INTERNACIONAL</t>
  </si>
  <si>
    <t>00.762.723/0001-28</t>
  </si>
  <si>
    <t>CVBI11</t>
  </si>
  <si>
    <t>FDO INV. IMOB. VBI CRI</t>
  </si>
  <si>
    <t>28.729.197/0001-13</t>
  </si>
  <si>
    <t>CXAG11</t>
  </si>
  <si>
    <t>FUNDO DE INVESTIMENTO IMOBILIÁRIO CAIXA AGÊNCIAS</t>
  </si>
  <si>
    <t>40.189.596/0001-34</t>
  </si>
  <si>
    <t>CXCE11</t>
  </si>
  <si>
    <t>FDO INV IMOB CAIXA CEDAE</t>
  </si>
  <si>
    <t>10.991.914/0001-15</t>
  </si>
  <si>
    <t>CXCE11B</t>
  </si>
  <si>
    <t>CXCI11</t>
  </si>
  <si>
    <t>FDO INV IMOB CAIXA CARTEIRA IMOBILIÁRIA</t>
  </si>
  <si>
    <t>42.066.916/0001-94</t>
  </si>
  <si>
    <t>CXCO11</t>
  </si>
  <si>
    <t>FDO. INV. IMOB. CAIXA IMÓVEIS CORPORATIVOS</t>
  </si>
  <si>
    <t>38.658.984/0001-75</t>
  </si>
  <si>
    <t>CXRI11</t>
  </si>
  <si>
    <t>CAIXA RIO BRAVO FUNDO DE FDO INV IMOB - FII</t>
  </si>
  <si>
    <t>17.098.794/0001-70</t>
  </si>
  <si>
    <t>CXTL11</t>
  </si>
  <si>
    <t>FDO INV IMOB CAIXA SEQ LOGÍSTICA RENDA</t>
  </si>
  <si>
    <t>12.887.506/0001-43</t>
  </si>
  <si>
    <t>CYCR11</t>
  </si>
  <si>
    <t>CYRELA CRÉDITO - FUNDO DE INVESTIMENTO IMOBILIÁRIO</t>
  </si>
  <si>
    <t>36.501.233/0001-15</t>
  </si>
  <si>
    <t>CYLD11</t>
  </si>
  <si>
    <t>CYRELA DESENVOLVIMENTO LOGÍSTICO FDO INV IMOB</t>
  </si>
  <si>
    <t>43.010.601/0001-98</t>
  </si>
  <si>
    <t>DAMA11</t>
  </si>
  <si>
    <t>DAMA FUNDO DE INVESTIMENTO IMOBILIÁRIO RESP LIMITA</t>
  </si>
  <si>
    <t>53.866.872/0001-01</t>
  </si>
  <si>
    <t>DAMT11</t>
  </si>
  <si>
    <t>DIAMANTE FDO INV IMOB</t>
  </si>
  <si>
    <t>26.642.727/0001-66</t>
  </si>
  <si>
    <t>DAMT11B</t>
  </si>
  <si>
    <t>DEVA11</t>
  </si>
  <si>
    <t>DEVANT RECEBÍVEIS IMOBILIÁRIOS FDO. INVEST. IMOB.</t>
  </si>
  <si>
    <t>37.087.810/0001-37</t>
  </si>
  <si>
    <t>DOVL11</t>
  </si>
  <si>
    <t>DOVEL FDO INV IMOB</t>
  </si>
  <si>
    <t>10.522.648/0001-81</t>
  </si>
  <si>
    <t>DPRO11</t>
  </si>
  <si>
    <t>DEVANT PROPERTIES FUNDO DE INVESTIMENTO IMOB</t>
  </si>
  <si>
    <t>42.922.127/0001-08</t>
  </si>
  <si>
    <t>DRIT11</t>
  </si>
  <si>
    <t>MULTIGESTÃO RENDA COMERCIAL FDO INV IMOB - FII</t>
  </si>
  <si>
    <t>10.456.810/0001-00</t>
  </si>
  <si>
    <t>DVFF11</t>
  </si>
  <si>
    <t>FDO. INVEST. IMOB. DEVANT FOF IMOBILIÁRIOS</t>
  </si>
  <si>
    <t>39.863.059/0001-49</t>
  </si>
  <si>
    <t>EDFO11</t>
  </si>
  <si>
    <t>FDO INV IMOB EDIFÍCIO OURINVEST</t>
  </si>
  <si>
    <t>06.175.262/0001-73</t>
  </si>
  <si>
    <t>EDGA11</t>
  </si>
  <si>
    <t>FDO INV IMOB - FII EDIFÍCIO GALERIA</t>
  </si>
  <si>
    <t>15.333.306/0001-37</t>
  </si>
  <si>
    <t>EGDB11</t>
  </si>
  <si>
    <t>FDO INV IMOB DESENV ESCRITÓRIOS BOUTIQUE RESP LIM</t>
  </si>
  <si>
    <t>53.866.393/0001-87</t>
  </si>
  <si>
    <t>EGYR11</t>
  </si>
  <si>
    <t>ENERGY RESORT FDO. INVEST. IMOB.</t>
  </si>
  <si>
    <t>36.969.658/0001-53</t>
  </si>
  <si>
    <t>EMET11</t>
  </si>
  <si>
    <t>EMET MULTIESTRATÉGIA FDO DE INV IMOB</t>
  </si>
  <si>
    <t>53.523.736/0001-00</t>
  </si>
  <si>
    <t>EQIR11</t>
  </si>
  <si>
    <t>EQI RECEBÍVEIS IMOBILIÁRIOS FDO DE INV IMOBILIÁRIO</t>
  </si>
  <si>
    <t>41.076.380/0001-25</t>
  </si>
  <si>
    <t>ERCR11</t>
  </si>
  <si>
    <t>ESTOQUE RESIDENCIAL E COMERCIAL RJ FDO INV IMOB</t>
  </si>
  <si>
    <t>37.266.902/0001-84</t>
  </si>
  <si>
    <t>ERCR13</t>
  </si>
  <si>
    <t>ERPA11</t>
  </si>
  <si>
    <t>EUROPA 105 - FDO INV IMOB</t>
  </si>
  <si>
    <t>31.469.385/0001-64</t>
  </si>
  <si>
    <t>EURO11</t>
  </si>
  <si>
    <t>FDO INV IMOB EUROPAR</t>
  </si>
  <si>
    <t>05.437.916/0001-27</t>
  </si>
  <si>
    <t>EVBI11</t>
  </si>
  <si>
    <t>HBC II FUNDO DE INVESTIMENTO IMOBILIÁRIO RESPONSAB</t>
  </si>
  <si>
    <t>34.691.520/0001-00</t>
  </si>
  <si>
    <t>EXES11</t>
  </si>
  <si>
    <t>EXES FUNDO DE INVESTIMENTO IMOBILIÁRIO</t>
  </si>
  <si>
    <t>41.076.851/0001-03</t>
  </si>
  <si>
    <t>FAED11</t>
  </si>
  <si>
    <t>FDO INV IMOB - FII ANHANGUERA EDUCACIONAL</t>
  </si>
  <si>
    <t>11.179.118/0001-45</t>
  </si>
  <si>
    <t>FAMB11</t>
  </si>
  <si>
    <t>FDO INV IMOB - FII EDIFÍCIO ALMIRANTE BARROSO</t>
  </si>
  <si>
    <t>05.562.312/0001-02</t>
  </si>
  <si>
    <t>FAMB11B</t>
  </si>
  <si>
    <t>FATN11</t>
  </si>
  <si>
    <t>BRC RENDA CORPORATIVA FII</t>
  </si>
  <si>
    <t>30.567.216/0001-02</t>
  </si>
  <si>
    <t>FCFL11</t>
  </si>
  <si>
    <t>FDO INV IMOB - FII CAMPUS FARIA LIMA</t>
  </si>
  <si>
    <t>11.602.654/0001-01</t>
  </si>
  <si>
    <t>FIGS11</t>
  </si>
  <si>
    <t>GENERAL SHOPPING ATIVO E RENDA FUNDO DE INV, IMOB.</t>
  </si>
  <si>
    <t>17.590.518/0001-25</t>
  </si>
  <si>
    <t>FIIB11</t>
  </si>
  <si>
    <t>FDO INV IMOB INDUSTRIAL DO BRASIL</t>
  </si>
  <si>
    <t>14.217.108/0001-45</t>
  </si>
  <si>
    <t>FIIP11B</t>
  </si>
  <si>
    <t>RB CAPITAL RENDA I FDO INV IMOB - FII</t>
  </si>
  <si>
    <t>08.696.175/0001-97</t>
  </si>
  <si>
    <t>FISC11</t>
  </si>
  <si>
    <t>FDO INV IMOB SC 401</t>
  </si>
  <si>
    <t>12.804.013/0001-00</t>
  </si>
  <si>
    <t>FISD11</t>
  </si>
  <si>
    <t>SAO DOMINGOS FDO INV IMOB - FII</t>
  </si>
  <si>
    <t>16.543.270/0001-89</t>
  </si>
  <si>
    <t>FIVN11</t>
  </si>
  <si>
    <t>FDO INV IMOB VIDA NOVA - FII</t>
  </si>
  <si>
    <t>17.854.016/0001-64</t>
  </si>
  <si>
    <t>FLCR11</t>
  </si>
  <si>
    <t>FARIA LIMA CAPITAL RECEB. IMOB. I - FDO INV. IMOB.</t>
  </si>
  <si>
    <t>33.884.145/0001-51</t>
  </si>
  <si>
    <t>FLFL11</t>
  </si>
  <si>
    <t>VBI TR FARIA LIMA 4440 FII</t>
  </si>
  <si>
    <t>50.808.042/0001-21</t>
  </si>
  <si>
    <t>FLMA11</t>
  </si>
  <si>
    <t>FDO INV IMOB CONTINENTAL SQUARE FARIA LIMA</t>
  </si>
  <si>
    <t>04.141.645/0001-03</t>
  </si>
  <si>
    <t>FLRP11</t>
  </si>
  <si>
    <t>HEDGE FLORIPA SHOPPING FUNDO INV IMOBI</t>
  </si>
  <si>
    <t>10.375.382/0001-91</t>
  </si>
  <si>
    <t>FMOF11</t>
  </si>
  <si>
    <t>FDO INV IMOB MEMORIAL OFFICE</t>
  </si>
  <si>
    <t>01.633.741/0001-72</t>
  </si>
  <si>
    <t>FPAB11</t>
  </si>
  <si>
    <t>FDO INV IMOB PROJETO ÁGUA BRANCA</t>
  </si>
  <si>
    <t>03.251.720/0001-18</t>
  </si>
  <si>
    <t>FPNG11</t>
  </si>
  <si>
    <t>FDO INV IMOB PEDRA NEGRA RENDA IMOB</t>
  </si>
  <si>
    <t>17.161.979/0001-82</t>
  </si>
  <si>
    <t>FTCE11</t>
  </si>
  <si>
    <t>OPPORTUNITY FDO INV IMOB</t>
  </si>
  <si>
    <t>01.235.622/0001-61</t>
  </si>
  <si>
    <t>FVPQ11</t>
  </si>
  <si>
    <t>FDO INV IMOB VIA PARQUE SHOPPING - FII</t>
  </si>
  <si>
    <t>00.332.266/0001-31</t>
  </si>
  <si>
    <t>GALG11</t>
  </si>
  <si>
    <t>FUND. DE INVEST. IMOBILIÁRIO GUARDIAN REAL ESTATE</t>
  </si>
  <si>
    <t>37.295.919/0001-60</t>
  </si>
  <si>
    <t>GAME11</t>
  </si>
  <si>
    <t>FDO DE INVEST IMOB GUARDIAN MULTIESTRATÉGIA I</t>
  </si>
  <si>
    <t>41.269.052/0001-45</t>
  </si>
  <si>
    <t>GARE11</t>
  </si>
  <si>
    <t>GCOI11</t>
  </si>
  <si>
    <t>GALAPAGOS SPECIAL OPORTUNITIES FII</t>
  </si>
  <si>
    <t>46.285.299/0001-79</t>
  </si>
  <si>
    <t>GCRI11</t>
  </si>
  <si>
    <t>GALAPAGOS RECEBÍVEIS IMOBILIÁRIOS - FDO. INV. IMOB</t>
  </si>
  <si>
    <t>38.293.897/0001-61</t>
  </si>
  <si>
    <t>GGRC11</t>
  </si>
  <si>
    <t>GGR COVEPI RENDA FDO INV IMOB RESPONSAB LTDA</t>
  </si>
  <si>
    <t>26.614.291/0001-00</t>
  </si>
  <si>
    <t>GLOG11</t>
  </si>
  <si>
    <t>GENIAL LOGÍSTICA FUNDO DE INVESTIMENTO IMOBILIÁRIO</t>
  </si>
  <si>
    <t>36.501.198/0001-34</t>
  </si>
  <si>
    <t>GSFI11</t>
  </si>
  <si>
    <t>GENERAL SHOP E OUTLETS DO BRASIL FDO INV IMOB - FI</t>
  </si>
  <si>
    <t>11.769.604/0001-13</t>
  </si>
  <si>
    <t>GTWR11</t>
  </si>
  <si>
    <t>FDO INV IMOB GREEN TOWERS</t>
  </si>
  <si>
    <t>23.740.527/0001-58</t>
  </si>
  <si>
    <t>GZIT11</t>
  </si>
  <si>
    <t>GAZIT MALLS FUNDO DE INVESTIMENTO IMOBILIÁRIO</t>
  </si>
  <si>
    <t>15.447.108/0001-02</t>
  </si>
  <si>
    <t>HAAA11</t>
  </si>
  <si>
    <t>HEDGE AAA FDO. INV. IMOB.</t>
  </si>
  <si>
    <t>27.445.482/0001-40</t>
  </si>
  <si>
    <t>HABT11</t>
  </si>
  <si>
    <t>HABITAT RECEBÍVEIS PULVERIZADOS - FII</t>
  </si>
  <si>
    <t>30.578.417/0001-05</t>
  </si>
  <si>
    <t>HBCR11</t>
  </si>
  <si>
    <t>FUNDO DE INVESTIMENTO IMOBILIÁRIO HBC RENDA URBANA</t>
  </si>
  <si>
    <t>36.501.159/0001-37</t>
  </si>
  <si>
    <t>HBRH11</t>
  </si>
  <si>
    <t>FDO.INVEST. IMOB. MULTI RENDA URBANA</t>
  </si>
  <si>
    <t>30.871.698/0001-81</t>
  </si>
  <si>
    <t>HCHG11</t>
  </si>
  <si>
    <t>HECTARE RECEBÍVEIS HIGH GRADE FDO. INV. IMOB.</t>
  </si>
  <si>
    <t>34.508.959/0001-54</t>
  </si>
  <si>
    <t>HCRI11</t>
  </si>
  <si>
    <t>FDO INV IMOB - FII HOSPITAL DA CRIANÇA</t>
  </si>
  <si>
    <t>04.066.582/0001-60</t>
  </si>
  <si>
    <t>HCST11</t>
  </si>
  <si>
    <t>HECTARE DESENV. STUDENT HOUSING - FDO. INV. IMOB.</t>
  </si>
  <si>
    <t>31.152.015/0001-07</t>
  </si>
  <si>
    <t>HCTR11</t>
  </si>
  <si>
    <t>HECTARE CE - FDO INV IMOB</t>
  </si>
  <si>
    <t>30.248.180/0001-96</t>
  </si>
  <si>
    <t>HDEL11</t>
  </si>
  <si>
    <t>HEDGE DESENVOLVIMENTO LOGÍSTICO FDO INV IMOB</t>
  </si>
  <si>
    <t>44.514.162/0001-13</t>
  </si>
  <si>
    <t>HDOF11</t>
  </si>
  <si>
    <t>HEDGE PALADIN DESIGN OFFICES FDO INV IMOB</t>
  </si>
  <si>
    <t>35.688.460/0001-39</t>
  </si>
  <si>
    <t>HFOF11</t>
  </si>
  <si>
    <t>HEDGE TOP FOFII 3 FDO INV IMOB</t>
  </si>
  <si>
    <t>18.307.582/0001-19</t>
  </si>
  <si>
    <t>HGBL11</t>
  </si>
  <si>
    <t>HEDGE BRASIL LOGÍSTICO IND FUND INV IMOB RESP LIM</t>
  </si>
  <si>
    <t>53.466.467/0001-98</t>
  </si>
  <si>
    <t>HGBS11</t>
  </si>
  <si>
    <t>HEDGE BRASIL SHOPPING FDO INV IMOB</t>
  </si>
  <si>
    <t>08.431.747/0001-06</t>
  </si>
  <si>
    <t>HGCR11</t>
  </si>
  <si>
    <t>PÁTRIA RECEBÍVEIS IMOBILIÁRIOS - FII - RESP. LTDA.</t>
  </si>
  <si>
    <t>11.160.521/0001-22</t>
  </si>
  <si>
    <t>HGFF11</t>
  </si>
  <si>
    <t>PÁTRIA IMOBILIÁRIO FOF - FII - RESPONSAB LTDA.</t>
  </si>
  <si>
    <t>32.784.898/0001-22</t>
  </si>
  <si>
    <t>HGIC11</t>
  </si>
  <si>
    <t>HGI CRÉDITOS IMOBILIÁRIOS FDO. INV. IMOB.</t>
  </si>
  <si>
    <t>38.456.508/0001-71</t>
  </si>
  <si>
    <t>HGLG11</t>
  </si>
  <si>
    <t>PÁTRIA LOG - FDO INV IMOB - RESPONSABILIDADE LTDA.</t>
  </si>
  <si>
    <t>11.728.688/0001-47</t>
  </si>
  <si>
    <t>HGPO11</t>
  </si>
  <si>
    <t>PÁTRIA PRIME OFFICES - FII - RESPONSABILIDADE LTDA</t>
  </si>
  <si>
    <t>11.260.134/0001-68</t>
  </si>
  <si>
    <t>HGRE11</t>
  </si>
  <si>
    <t>PÁTRIA ESCRITÓRIOS - FDO INV IMOB - RESPONSAB LTDA</t>
  </si>
  <si>
    <t>09.072.017/0001-29</t>
  </si>
  <si>
    <t>HGRU11</t>
  </si>
  <si>
    <t>PÁTRIA RENDA URBANA - FII - RESPONSABILIDADE LTDA.</t>
  </si>
  <si>
    <t>29.641.226/0001-53</t>
  </si>
  <si>
    <t>HILG11</t>
  </si>
  <si>
    <t>HIRE LOG I FDO DE INV IMOB</t>
  </si>
  <si>
    <t>34.867.728/0001-37</t>
  </si>
  <si>
    <t>HLOG11</t>
  </si>
  <si>
    <t>HEDGE LOGÍSTICA FDO. INV. IMOB.</t>
  </si>
  <si>
    <t>27.486.542/0001-72</t>
  </si>
  <si>
    <t>HOFC11</t>
  </si>
  <si>
    <t>HEDGE OFFICE INCOME FUNDO DE INVESTIMENTO IMOB.</t>
  </si>
  <si>
    <t>31.894.369/0001-19</t>
  </si>
  <si>
    <t>HOSI11</t>
  </si>
  <si>
    <t>FDO. INV. IMOB. HOUSI</t>
  </si>
  <si>
    <t>34.081.631/0001-02</t>
  </si>
  <si>
    <t>HPDP11</t>
  </si>
  <si>
    <t>HEDGE SHOPPING PARQUE DOM PEDRO FDO. DE INV. IMOB.</t>
  </si>
  <si>
    <t>35.586.415/0001-73</t>
  </si>
  <si>
    <t>HRDF11</t>
  </si>
  <si>
    <t>HEDGE REALTY DEVELOPMENT FDO INV IMOB</t>
  </si>
  <si>
    <t>16.929.519/0001-99</t>
  </si>
  <si>
    <t>HREC11</t>
  </si>
  <si>
    <t>HEDGE RECEBIVEIS IMOB. FUNDO DE INVST. IMOB.</t>
  </si>
  <si>
    <t>35.507.262/0001-21</t>
  </si>
  <si>
    <t>HRES11</t>
  </si>
  <si>
    <t>FII HIRE RESIDENCIAL I - FDO DE INV IMOB</t>
  </si>
  <si>
    <t>42.869.853/0001-04</t>
  </si>
  <si>
    <t>HSAF11</t>
  </si>
  <si>
    <t>HSI ATIVOS FINANCEIROS FUNDO DE INVESTIMENTO IMOBI</t>
  </si>
  <si>
    <t>35.360.687/0001-50</t>
  </si>
  <si>
    <t>HSLG11</t>
  </si>
  <si>
    <t>HSI LOGÍSTICA FUNDO DE INVESTIMENTO IMOBILIÁRIO</t>
  </si>
  <si>
    <t>32.903.621/0001-71</t>
  </si>
  <si>
    <t>HSML11</t>
  </si>
  <si>
    <t>HSI MALL FDO INV IMOB</t>
  </si>
  <si>
    <t>32.892.018/0001-31</t>
  </si>
  <si>
    <t>HSRE11</t>
  </si>
  <si>
    <t>HSI RENDA IMOB FDO INV IMOB</t>
  </si>
  <si>
    <t>08.098.114/0001-28</t>
  </si>
  <si>
    <t>HTMX11</t>
  </si>
  <si>
    <t>FDO INV IMOB - FII HOTEL MAXINVEST</t>
  </si>
  <si>
    <t>08.706.065/0001-69</t>
  </si>
  <si>
    <t>HUCG11</t>
  </si>
  <si>
    <t>FDO INV IMOB HOSPITAL UNIMED CAMPINA GRANDE</t>
  </si>
  <si>
    <t>39.347.413/0001-82</t>
  </si>
  <si>
    <t>HUSC11</t>
  </si>
  <si>
    <t>FDO INV IMOB HOSPITAL UNIMED SUL CAPIXABA</t>
  </si>
  <si>
    <t>28.851.767/0001-43</t>
  </si>
  <si>
    <t>HUSI11</t>
  </si>
  <si>
    <t>HUSI FDO INV. IMOB.</t>
  </si>
  <si>
    <t>30.017.492/0001-99</t>
  </si>
  <si>
    <t>IBCR11</t>
  </si>
  <si>
    <t>FDO DE INV IMOBILIÁRIO DE CRI INTEGRAL BREI</t>
  </si>
  <si>
    <t>40.011.251/0001-96</t>
  </si>
  <si>
    <t>ICRI11</t>
  </si>
  <si>
    <t>ITAÚ CRÉDITO IMOB IPCA FDO DE INV IMOB</t>
  </si>
  <si>
    <t>51.294.441/0001-84</t>
  </si>
  <si>
    <t>IDFI11</t>
  </si>
  <si>
    <t>FDO INV IMOBILIÁRIO DE UNIDADES AUTÔNOMAS</t>
  </si>
  <si>
    <t>32.774.914/0001-04</t>
  </si>
  <si>
    <t>IDGR11</t>
  </si>
  <si>
    <t>FDO DE INV IMOBILIÁRIO DE UNIDADES AUTÔNOMAS II</t>
  </si>
  <si>
    <t>44.177.538/0001-41</t>
  </si>
  <si>
    <t>IRDM11</t>
  </si>
  <si>
    <t>FII IRIDIUM RECEBÍVEIS IMOBILIÁRIOS</t>
  </si>
  <si>
    <t>28.830.325/0001-10</t>
  </si>
  <si>
    <t>IRIM11</t>
  </si>
  <si>
    <t>IRIDIUM FUNDO DE INVESTIMENTO IMOBILIÁRIO</t>
  </si>
  <si>
    <t>41.076.564/0001-95</t>
  </si>
  <si>
    <t>ISCJ11</t>
  </si>
  <si>
    <t>INVISTA SCJ - FII</t>
  </si>
  <si>
    <t>50.418.740/0001-10</t>
  </si>
  <si>
    <t>ITIP11</t>
  </si>
  <si>
    <t>INTER TEVA INDICE DE PAPEL FUNDO DE INVESTIMENTO</t>
  </si>
  <si>
    <t>36.312.772/0001-06</t>
  </si>
  <si>
    <t>ITIT11</t>
  </si>
  <si>
    <t>INTER TEVA INDICE DE TIJOLO FUNDO DE INVESTIMENTO</t>
  </si>
  <si>
    <t>36.293.425/0001-83</t>
  </si>
  <si>
    <t>ITRI11</t>
  </si>
  <si>
    <t>ITAÚ TOTAL RETURN FDO DE INV IMOB</t>
  </si>
  <si>
    <t>52.270.671/0001-76</t>
  </si>
  <si>
    <t>JASC11</t>
  </si>
  <si>
    <t>JASC RENDA VAREJO ESSENCIAL FDO DE INV IMOB - FII</t>
  </si>
  <si>
    <t>40.886.241/0001-02</t>
  </si>
  <si>
    <t>JBFO11</t>
  </si>
  <si>
    <t>JBFO FOF FDO INV. IMOB.</t>
  </si>
  <si>
    <t>36.615.915/0001-59</t>
  </si>
  <si>
    <t>JCCJ11</t>
  </si>
  <si>
    <t>JHSF CAPITAL CIDADE JARDIM - FDO DE INV IMOB</t>
  </si>
  <si>
    <t>50.701.686/0001-16</t>
  </si>
  <si>
    <t>JCIN11</t>
  </si>
  <si>
    <t>FOF JHSF CAPITAL INSTITUCIONAL - FII</t>
  </si>
  <si>
    <t>50.718.976/0001-72</t>
  </si>
  <si>
    <t>JFLL11</t>
  </si>
  <si>
    <t>JFL LIVING FDO. INV. IMOB.</t>
  </si>
  <si>
    <t>36.501.181/0001-87</t>
  </si>
  <si>
    <t>JPPA11</t>
  </si>
  <si>
    <t>JPP CAPITAL RECEBIVEIS IMOB. FDO. INVEST. IMOB.</t>
  </si>
  <si>
    <t>30.982.880/0001-00</t>
  </si>
  <si>
    <t>JPPC11</t>
  </si>
  <si>
    <t>JPP CAPITAL FDO INV IMOB - FII</t>
  </si>
  <si>
    <t>17.216.625/0001-98</t>
  </si>
  <si>
    <t>JSAF11</t>
  </si>
  <si>
    <t>JS ATIVOS FINANCEIROS FDO DE INV IMOBILIÁRIO</t>
  </si>
  <si>
    <t>42.085.661/0001-07</t>
  </si>
  <si>
    <t>JSCR11</t>
  </si>
  <si>
    <t>JS RECEBÍVEIS IMOBILIÁRIOS FDO DE INV IMOB</t>
  </si>
  <si>
    <t>54.866.214/0001-74</t>
  </si>
  <si>
    <t>JSRE11</t>
  </si>
  <si>
    <t>JS REAL ESTATE MULTIGESTÃO - FII</t>
  </si>
  <si>
    <t>13.371.132/0001-71</t>
  </si>
  <si>
    <t>KCRE11</t>
  </si>
  <si>
    <t>KINEA CREDITAS FDO DE INV IMOBILIÁRIO - FII</t>
  </si>
  <si>
    <t>42.502.802/0001-40</t>
  </si>
  <si>
    <t>KEVE11</t>
  </si>
  <si>
    <t>EVEN II KINEA FUNDO DE INVESTIMENTO IMOBILIÁRIO</t>
  </si>
  <si>
    <t>32.317.313/0001-64</t>
  </si>
  <si>
    <t>KFOF11</t>
  </si>
  <si>
    <t>FUNDO DE FDO INV IMOB KINEA FII</t>
  </si>
  <si>
    <t>30.091.444/0001-40</t>
  </si>
  <si>
    <t>KISU11</t>
  </si>
  <si>
    <t>KILIMA FIC FDO. IMOB. SUNO 30</t>
  </si>
  <si>
    <t>36.669.660/0001-07</t>
  </si>
  <si>
    <t>KIVO11</t>
  </si>
  <si>
    <t>KILIMA VOLKANO RECEBÍVEIS IMOB FDO DE INV IMOB</t>
  </si>
  <si>
    <t>42.273.325/0001-98</t>
  </si>
  <si>
    <t>KNCR11</t>
  </si>
  <si>
    <t>KINEA RENDIMENTOS IMOBILIÁRIOS FDO INV IMOB - FII</t>
  </si>
  <si>
    <t>16.706.958/0001-32</t>
  </si>
  <si>
    <t>KNHF11</t>
  </si>
  <si>
    <t>KINEA HEDGE FUND FDO DE INV IMOB</t>
  </si>
  <si>
    <t>42.754.342/0001-47</t>
  </si>
  <si>
    <t>KNHY11</t>
  </si>
  <si>
    <t>KINEA HIGH YIELD CRI FDO INV IMOB - FII</t>
  </si>
  <si>
    <t>30.130.708/0001-28</t>
  </si>
  <si>
    <t>KNHY12</t>
  </si>
  <si>
    <t>KNIP11</t>
  </si>
  <si>
    <t>KINEA ÍNDICES DE PREÇOS FDO INV IMOB - FII</t>
  </si>
  <si>
    <t>24.960.430/0001-13</t>
  </si>
  <si>
    <t>KNRE11</t>
  </si>
  <si>
    <t>KINEA II REAL ESTATE EQUITY FDO INV IMOB</t>
  </si>
  <si>
    <t>14.423.780/0001-97</t>
  </si>
  <si>
    <t>KNRI11</t>
  </si>
  <si>
    <t>KINEA RENDA IMOBILIÁRIA FDO INV IMOB - FII</t>
  </si>
  <si>
    <t>12.005.956/0001-65</t>
  </si>
  <si>
    <t>KNSC11</t>
  </si>
  <si>
    <t>KINEA SECURITIES FDO. DE INV. IMOB. - FII</t>
  </si>
  <si>
    <t>35.864.448/0001-38</t>
  </si>
  <si>
    <t>KNUQ11</t>
  </si>
  <si>
    <t>KINEA UNIQUE HY CDI FUNDO DE INVESTIMENTO IMOB</t>
  </si>
  <si>
    <t>42.754.362/0001-18</t>
  </si>
  <si>
    <t>KORE11</t>
  </si>
  <si>
    <t>KINEA OPORTUNIDADES REAL ESTATE FDO DE INV IMOB</t>
  </si>
  <si>
    <t>52.219.978/0001-42</t>
  </si>
  <si>
    <t>LASC11</t>
  </si>
  <si>
    <t>LEGATUS SHOPPINGS FDO. INV. IMOB. - FII</t>
  </si>
  <si>
    <t>30.248.158/0001-46</t>
  </si>
  <si>
    <t>LFTT11</t>
  </si>
  <si>
    <t>LOFT II FUNDO DE INVESTIMENTO IMOBILIÁRIO</t>
  </si>
  <si>
    <t>24.796.967/0001-90</t>
  </si>
  <si>
    <t>LGCP11</t>
  </si>
  <si>
    <t>LOGCP INTER FDO INV IMOB</t>
  </si>
  <si>
    <t>34.598.181/0001-11</t>
  </si>
  <si>
    <t>LIFE11</t>
  </si>
  <si>
    <t>LIFE CAPITAL PARTNERS FUNDO DE INVESTIMENTO IMOB</t>
  </si>
  <si>
    <t>39.753.295/0001-02</t>
  </si>
  <si>
    <t>LKDV11</t>
  </si>
  <si>
    <t>FUNDO DE INVESTIMENTO IMOBILIÁRIO - DEVELOPMENT V1</t>
  </si>
  <si>
    <t>40.102.445/0001-05</t>
  </si>
  <si>
    <t>LLAO11</t>
  </si>
  <si>
    <t>BS2 ALLINVESTMENTS FDO DE INV IMOB</t>
  </si>
  <si>
    <t>41.218.404/0001-33</t>
  </si>
  <si>
    <t>LPLP11</t>
  </si>
  <si>
    <t>LAGO DA PEDRA - FUNDO DE INVESTIMENTO IMOBILIÁRIO</t>
  </si>
  <si>
    <t>37.262.752/0001-30</t>
  </si>
  <si>
    <t>LSPA11</t>
  </si>
  <si>
    <t>LESTE RIVA EQUITY PREFERENCIAL I FDO. INV. IMOB.</t>
  </si>
  <si>
    <t>31.847.293/0001-70</t>
  </si>
  <si>
    <t>LUGG11</t>
  </si>
  <si>
    <t>LUGGO FDO. INV. IMOB.</t>
  </si>
  <si>
    <t>34.835.191/0001-23</t>
  </si>
  <si>
    <t>LVBI11</t>
  </si>
  <si>
    <t>FDO INV IMOB - VBI LOGÍSTICO</t>
  </si>
  <si>
    <t>30.629.603/0001-18</t>
  </si>
  <si>
    <t>MALL11</t>
  </si>
  <si>
    <t>GENIAL MALLS FUNDO DE INVESTIMENTO IMOBILIÁRIO</t>
  </si>
  <si>
    <t>26.499.833/0001-32</t>
  </si>
  <si>
    <t>MANA11</t>
  </si>
  <si>
    <t>MANATÍ CAPITAL HEDGE FUND FDO INV IMOB</t>
  </si>
  <si>
    <t>42.888.583/0001-89</t>
  </si>
  <si>
    <t>MAXR11</t>
  </si>
  <si>
    <t>FDO INV IMOB - FII MAX RETAIL</t>
  </si>
  <si>
    <t>11.274.415/0001-70</t>
  </si>
  <si>
    <t>MCCI11</t>
  </si>
  <si>
    <t>FDO INV. MAUA CAPITAL RECEBIVEIS IMOB. - FII</t>
  </si>
  <si>
    <t>23.648.935/0001-84</t>
  </si>
  <si>
    <t>MCEM11</t>
  </si>
  <si>
    <t>MÉRITO CEMITÉRIOS FII - FDO DE INV IMOB</t>
  </si>
  <si>
    <t>46.157.247/0001-17</t>
  </si>
  <si>
    <t>MCHF11</t>
  </si>
  <si>
    <t>MAUÁ CAPITAL HEDGE FUND - FDO. INVEST. IMOB.</t>
  </si>
  <si>
    <t>36.642.139/0001-86</t>
  </si>
  <si>
    <t>MCHY11</t>
  </si>
  <si>
    <t>MAUÁ CAPITAL REAL ESTATE FDO DE INV IMOB</t>
  </si>
  <si>
    <t>36.655.973/0001-06</t>
  </si>
  <si>
    <t>MFAI11</t>
  </si>
  <si>
    <t>MERITO FDO. AÇÕES IMOB. FII - FDO INV. IMOB.</t>
  </si>
  <si>
    <t>32.397.369/0001-76</t>
  </si>
  <si>
    <t>MFCR11</t>
  </si>
  <si>
    <t>MÉRITO RECEBÍVEIS IMOBILIÁRIOS FII - FDO INV IMOB</t>
  </si>
  <si>
    <t>45.403.337/0001-88</t>
  </si>
  <si>
    <t>MFII11</t>
  </si>
  <si>
    <t>MÉRITO DESENVOLVIMENTO IMOBILIÁRIO I FII - FII</t>
  </si>
  <si>
    <t>16.915.968/0001-88</t>
  </si>
  <si>
    <t>MGFF11</t>
  </si>
  <si>
    <t>FDO INV IMOB MOGNO FUNDO DE FUNDOS</t>
  </si>
  <si>
    <t>29.216.463/0001-77</t>
  </si>
  <si>
    <t>MGHT11</t>
  </si>
  <si>
    <t>FDO. INV. IMOB. MOGNO HOTEIS</t>
  </si>
  <si>
    <t>34.197.776/0001-65</t>
  </si>
  <si>
    <t>MINT11</t>
  </si>
  <si>
    <t>FUNDO DE INVESTIMENTO IMOBILIÁRIO MINT EDUCACIONAL</t>
  </si>
  <si>
    <t>19.872.887/0001-36</t>
  </si>
  <si>
    <t>MMVE11</t>
  </si>
  <si>
    <t>MARESIAS FUNDO DE INVESTIMENTO IMOBILIÁRIO</t>
  </si>
  <si>
    <t>41.251.337/0001-59</t>
  </si>
  <si>
    <t>MORC11</t>
  </si>
  <si>
    <t>MORE RECEBÍVEIS IMOBILIÁRIOS FII FDO. INV. IMOB.</t>
  </si>
  <si>
    <t>40.102.474/0001-69</t>
  </si>
  <si>
    <t>MORE11</t>
  </si>
  <si>
    <t>MORE REAL ESTATE FOF FII FDO. INV. IMOB.</t>
  </si>
  <si>
    <t>34.197.727/0001-22</t>
  </si>
  <si>
    <t>MXRF11</t>
  </si>
  <si>
    <t>MAXI RENDA FDO INV IMOB - FII</t>
  </si>
  <si>
    <t>97.521.225/0001-25</t>
  </si>
  <si>
    <t>NAVT11</t>
  </si>
  <si>
    <t>NAVI IMOBILIÁRIO TOTAL RETURN FDO. INVEST. IMOB.</t>
  </si>
  <si>
    <t>35.652.252/0001-80</t>
  </si>
  <si>
    <t>NCHB11</t>
  </si>
  <si>
    <t>FII - FII NCH BRASIL RECEBÍVEIS IMOBILIÁRIOS</t>
  </si>
  <si>
    <t>18.085.673/0001-57</t>
  </si>
  <si>
    <t>NCRI11</t>
  </si>
  <si>
    <t>NAVI CRÉDITO IMOBILIÁRIO - FDO INV IMOB</t>
  </si>
  <si>
    <t>40.041.603/0001-56</t>
  </si>
  <si>
    <t>NEWL11</t>
  </si>
  <si>
    <t>NEWPORT LOGÍSTICA FDO INV. IMOB.</t>
  </si>
  <si>
    <t>32.527.626/0001-47</t>
  </si>
  <si>
    <t>NEWU11</t>
  </si>
  <si>
    <t>NEWPORT RENDA URBANA FDO INV IMOB</t>
  </si>
  <si>
    <t>14.793.782/0001-78</t>
  </si>
  <si>
    <t>NSLU11</t>
  </si>
  <si>
    <t>FDO INV IMOB - FII HOSPITAL NOSSA SRA DE LOURDES</t>
  </si>
  <si>
    <t>08.014.513/0001-63</t>
  </si>
  <si>
    <t>NVHO11</t>
  </si>
  <si>
    <t>FDO INV IMOB - FII NOVO HORIZONTE</t>
  </si>
  <si>
    <t>17.025.970/0001-44</t>
  </si>
  <si>
    <t>OBAL11</t>
  </si>
  <si>
    <t>OPPORTUNITY BALASSIANO FDO DE INV IMOB</t>
  </si>
  <si>
    <t>42.273.290/0001-97</t>
  </si>
  <si>
    <t>OCRE11</t>
  </si>
  <si>
    <t>OCTO FDO DE INV IMOB</t>
  </si>
  <si>
    <t>44.680.435/0001-08</t>
  </si>
  <si>
    <t>OGHY11</t>
  </si>
  <si>
    <t>ÓRAMA HIGH YIELD FDO INV IMOB</t>
  </si>
  <si>
    <t>47.240.631/0001-41</t>
  </si>
  <si>
    <t>ONEF11</t>
  </si>
  <si>
    <t>FDO INV IMOB THE ONE</t>
  </si>
  <si>
    <t>12.948.291/0001-23</t>
  </si>
  <si>
    <t>OUFF11</t>
  </si>
  <si>
    <t>FDO INV IMOB - OURINVEST FUNDO DE FUNDOS</t>
  </si>
  <si>
    <t>30.791.386/0001-68</t>
  </si>
  <si>
    <t>OUJP11</t>
  </si>
  <si>
    <t>OURINVEST JPP FDO INV IMOB - FII</t>
  </si>
  <si>
    <t>26.091.656/0001-50</t>
  </si>
  <si>
    <t>OULG11</t>
  </si>
  <si>
    <t>FDO INV IMOB OURINVEST LOGÍSTICA</t>
  </si>
  <si>
    <t>13.974.819/0001-00</t>
  </si>
  <si>
    <t>OURE11</t>
  </si>
  <si>
    <t>FUNDO DE INVEST IMOB OURINVEST RENDA ESTRUTURADA</t>
  </si>
  <si>
    <t>28.516.650/0001-03</t>
  </si>
  <si>
    <t>PABY11</t>
  </si>
  <si>
    <t>FDO INV IMOB PANAMBY</t>
  </si>
  <si>
    <t>00.613.094/0001-74</t>
  </si>
  <si>
    <t>PATC11</t>
  </si>
  <si>
    <t>PÁTRIA EDIFÍCIOS CORPORATIVOS FDO INV IMOB - FII</t>
  </si>
  <si>
    <t>30.048.651/0001-12</t>
  </si>
  <si>
    <t>PATL11</t>
  </si>
  <si>
    <t>PÁTRIA LOGÍSTICA FUNDO DE INVESTIMENTO IMOBILIÁRIO</t>
  </si>
  <si>
    <t>35.754.164/0001-99</t>
  </si>
  <si>
    <t>PEMA11</t>
  </si>
  <si>
    <t>PERFORMA REAL ESTATE - FDO. INV. IMOB.</t>
  </si>
  <si>
    <t>34.736.510/0001-43</t>
  </si>
  <si>
    <t>PLCR11</t>
  </si>
  <si>
    <t>FDO INV. IMOB. PLURAL RECEBIVEIS</t>
  </si>
  <si>
    <t>32.527.683/0001-26</t>
  </si>
  <si>
    <t>PLRI11</t>
  </si>
  <si>
    <t>POLO FDO INV IMOB - FII RECEBÍVEIS IMOBILIÁRIOS I</t>
  </si>
  <si>
    <t>14.080.689/0001-16</t>
  </si>
  <si>
    <t>PMFO11</t>
  </si>
  <si>
    <t>SPECIALE REAL ESTATE FUND OF FUNDS FDO DE INV IMOB</t>
  </si>
  <si>
    <t>50.135.849/0001-40</t>
  </si>
  <si>
    <t>PMIS11</t>
  </si>
  <si>
    <t>PARAMIS HEDGE FUND FDO DE INV IMOB</t>
  </si>
  <si>
    <t>51.868.778/0001-58</t>
  </si>
  <si>
    <t>PNCR11</t>
  </si>
  <si>
    <t>PANORAMA CREDITO RESIDENCIAL FDO DE INV IMOB</t>
  </si>
  <si>
    <t>50.569.855/0001-06</t>
  </si>
  <si>
    <t>PNDL11</t>
  </si>
  <si>
    <t>PANORAMA DESENVOLVIMENTO LOGÍSTICO FDO. INV. IMOB.</t>
  </si>
  <si>
    <t>37.899.400/0001-90</t>
  </si>
  <si>
    <t>PNPR11</t>
  </si>
  <si>
    <t>PANORAMA PROPERTIES FDO. INVEST. IMOB.</t>
  </si>
  <si>
    <t>26.813.118/0001-22</t>
  </si>
  <si>
    <t>PNRC11</t>
  </si>
  <si>
    <t>PANORAMA REAL ESTATE CRÉDITO FDO INV IMOB</t>
  </si>
  <si>
    <t>46.157.348/0001-98</t>
  </si>
  <si>
    <t>PORD11</t>
  </si>
  <si>
    <t>POLO CREDITO IMOBILIARIO- FII</t>
  </si>
  <si>
    <t>17.156.502/0001-09</t>
  </si>
  <si>
    <t>PQAG11</t>
  </si>
  <si>
    <t>PARQUE ANHANGUERA FDO. INVEST. IMOB.</t>
  </si>
  <si>
    <t>12.978.943/0001-72</t>
  </si>
  <si>
    <t>PQDP11</t>
  </si>
  <si>
    <t>FDO INV IMOB - FII PARQUE D. PEDRO SHOPPING CENTER</t>
  </si>
  <si>
    <t>10.869.155/0001-12</t>
  </si>
  <si>
    <t>PRSN11</t>
  </si>
  <si>
    <t>PERSONALE I FDO INV IMOB - FII</t>
  </si>
  <si>
    <t>14.056.001/0001-62</t>
  </si>
  <si>
    <t>PRSV11</t>
  </si>
  <si>
    <t>PRESIDENTE VARGAS FDO INV IMOB</t>
  </si>
  <si>
    <t>11.281.322/0001-72</t>
  </si>
  <si>
    <t>PULV11</t>
  </si>
  <si>
    <t>FUNDO DE INV IMOB RBR CRÉD PULVERIZADO RESP LTDA</t>
  </si>
  <si>
    <t>53.018.363/0001-10</t>
  </si>
  <si>
    <t>PVBI11</t>
  </si>
  <si>
    <t>FDO. INV. IMOB. VBI PRIME PROPERTIES</t>
  </si>
  <si>
    <t>35.652.102/0001-76</t>
  </si>
  <si>
    <t>QAGR11</t>
  </si>
  <si>
    <t>VBI AGRO - FUNDO DE INVESTIMENTO IMOBILIÁRIO</t>
  </si>
  <si>
    <t>32.754.734/0001-52</t>
  </si>
  <si>
    <t>RBDS11</t>
  </si>
  <si>
    <t>RB CAPITAL DESENV. RESID. II FDO INV IMOB - FII</t>
  </si>
  <si>
    <t>11.945.604/0001-27</t>
  </si>
  <si>
    <t>RBED11</t>
  </si>
  <si>
    <t>FDO INV IMOB RIO BRAVO RENDA EDUCACIONAL - FII</t>
  </si>
  <si>
    <t>13.873.457/0001-52</t>
  </si>
  <si>
    <t>RBFF11</t>
  </si>
  <si>
    <t>RIO BRAVO FUNDO DE FUNDOS DE INVESTIMENTO IMOB</t>
  </si>
  <si>
    <t>17.329.029/0001-14</t>
  </si>
  <si>
    <t>RBHG11</t>
  </si>
  <si>
    <t>RIO BRAVO CREDITO IMOB HIGH GRADE FUND DE INVEST</t>
  </si>
  <si>
    <t>30.647.758/0001-87</t>
  </si>
  <si>
    <t>RBHY11</t>
  </si>
  <si>
    <t>RIO BRAVO CRÉDITO IMOB. HIGH YIELD FDO. INV. IMOB.</t>
  </si>
  <si>
    <t>37.899.479/0001-50</t>
  </si>
  <si>
    <t>RBIR11</t>
  </si>
  <si>
    <t>RB CAPITAL DESENV. RESIDENCIAL IV FDO. INV. IMOB.</t>
  </si>
  <si>
    <t>31.161.410/0001-48</t>
  </si>
  <si>
    <t>RBLG11</t>
  </si>
  <si>
    <t>RB CAPITAL LOGÍSTICO FDO. INV. IMOB.YE</t>
  </si>
  <si>
    <t>35.652.227/0001-04</t>
  </si>
  <si>
    <t>RBOP11</t>
  </si>
  <si>
    <t>RIO BRAVO OPORTUNIDADES IMOBILIÁRIAS FII</t>
  </si>
  <si>
    <t>13.500.306/0001-59</t>
  </si>
  <si>
    <t>RBRD11</t>
  </si>
  <si>
    <t>RB CAPITAL RENDA II FDO INV IMOB - FII</t>
  </si>
  <si>
    <t>09.006.914/0001-34</t>
  </si>
  <si>
    <t>RBRF11</t>
  </si>
  <si>
    <t>RBR ALPHA MULTIESTRATÉGIA REAL ESTATE FDO INV IMOB</t>
  </si>
  <si>
    <t>27.529.279/0001-51</t>
  </si>
  <si>
    <t>RBRI11</t>
  </si>
  <si>
    <t>FUNDO DE INVESTIMENTO IMOBILIÁRIO - FII RBR DESENV</t>
  </si>
  <si>
    <t>32.441.656/0001-36</t>
  </si>
  <si>
    <t>RBRL11</t>
  </si>
  <si>
    <t>RBR LOG FUNDO DE INVESTIMENTO IMOBILIÁRIO</t>
  </si>
  <si>
    <t>35.705.463/0001-33</t>
  </si>
  <si>
    <t>RBRM11</t>
  </si>
  <si>
    <t>FDO INV IMOB - FII RBR DESENVOLVIMENTO</t>
  </si>
  <si>
    <t>26.314.437/0001-93</t>
  </si>
  <si>
    <t>RBRP11</t>
  </si>
  <si>
    <t>FDO INV IMOB RBR PROPERTIES - FII</t>
  </si>
  <si>
    <t>21.408.063/0001-51</t>
  </si>
  <si>
    <t>RBRR11</t>
  </si>
  <si>
    <t>FDO INV IMOB - FII RBR RENDIMENTO HIGH GRADE</t>
  </si>
  <si>
    <t>29.467.977/0001-03</t>
  </si>
  <si>
    <t>RBRS11</t>
  </si>
  <si>
    <t>RIO BRAVO RENDA RESIDENCIAL FDO. INVEST. IMOB.</t>
  </si>
  <si>
    <t>36.517.660/0001-91</t>
  </si>
  <si>
    <t>RBRX11</t>
  </si>
  <si>
    <t>RBR PLUS MULTIESTRATÉGIA REAL ESTATE FII</t>
  </si>
  <si>
    <t>41.088.458/0001-21</t>
  </si>
  <si>
    <t>RBRY11</t>
  </si>
  <si>
    <t>FDO INV IMOB RBR CREDITO IMOB ESTRUTURADO</t>
  </si>
  <si>
    <t>30.166.700/0001-11</t>
  </si>
  <si>
    <t>RBTS11</t>
  </si>
  <si>
    <t>RB CAPITAL TFO SITUS FDO INV IMOB - FII</t>
  </si>
  <si>
    <t>29.299.737/0001-39</t>
  </si>
  <si>
    <t>RBVA11</t>
  </si>
  <si>
    <t>FDO INV IMOB RIO BRAVO RENDA VAREJO - FII</t>
  </si>
  <si>
    <t>15.576.907/0001-70</t>
  </si>
  <si>
    <t>RBVO11</t>
  </si>
  <si>
    <t>RIO BRAVO CRÉDITO IMOBILIÁRIO II FDO INV IMOB -FII</t>
  </si>
  <si>
    <t>15.769.670/0001-44</t>
  </si>
  <si>
    <t>RCFA11</t>
  </si>
  <si>
    <t>GRUPO RCFA FDO INV IMOB</t>
  </si>
  <si>
    <t>27.771.586/0001-44</t>
  </si>
  <si>
    <t>RCFF11</t>
  </si>
  <si>
    <t>RBR DESENV COMERCIAL FEEDER FOF FDO INVEST IMOB</t>
  </si>
  <si>
    <t>35.689.670/0001-41</t>
  </si>
  <si>
    <t>RCRB11</t>
  </si>
  <si>
    <t>FDO INV IMOB RIO BRAVO RENDA CORPORATIVA</t>
  </si>
  <si>
    <t>03.683.056/0001-86</t>
  </si>
  <si>
    <t>RDLI11</t>
  </si>
  <si>
    <t>RBR DESENVOLVIMENTO LOGÍSTICO I - FII RESP LIMITAD</t>
  </si>
  <si>
    <t>53.391.567/0001-00</t>
  </si>
  <si>
    <t>RECR11</t>
  </si>
  <si>
    <t>FDO INV IMOB - FII REC RECEBIVEIS IMOBILIARIOS</t>
  </si>
  <si>
    <t>28.152.272/0001-26</t>
  </si>
  <si>
    <t>RECT11</t>
  </si>
  <si>
    <t>FDO INV IMOB - FII REC RENDA IMOBILIARIA</t>
  </si>
  <si>
    <t>32.274.163/0001-59</t>
  </si>
  <si>
    <t>RECX11</t>
  </si>
  <si>
    <t>FDO. INV. IMOB. REC FUNDO DE FUNDOS</t>
  </si>
  <si>
    <t>36.642.356/0001-76</t>
  </si>
  <si>
    <t>REIT11</t>
  </si>
  <si>
    <t>SINGULARE FDO INV IMOB - FII</t>
  </si>
  <si>
    <t>16.841.067/0001-99</t>
  </si>
  <si>
    <t>RELG11</t>
  </si>
  <si>
    <t>FDO INV. IMOB. REC LOGISTICA</t>
  </si>
  <si>
    <t>37.112.770/0001-36</t>
  </si>
  <si>
    <t>RENV11</t>
  </si>
  <si>
    <t>CPV ENERGIA FDO DE INV IMOB RESP LIM</t>
  </si>
  <si>
    <t>54.174.907/0001-04</t>
  </si>
  <si>
    <t>RFOF11</t>
  </si>
  <si>
    <t>FDO. INVEST. IMOB. RB CAPITAL I FUNDO DE FUNDOS</t>
  </si>
  <si>
    <t>34.027.774/0001-28</t>
  </si>
  <si>
    <t>RINV11</t>
  </si>
  <si>
    <t>REAL INVESTOR FUNDO DE INVESTIMENTO IMOBILIÁRIO</t>
  </si>
  <si>
    <t>44.625.612/0001-45</t>
  </si>
  <si>
    <t>RMAI11</t>
  </si>
  <si>
    <t>REAG MULTI ATIVOS IMOBILIÁRIOS - FII</t>
  </si>
  <si>
    <t>17.374.696/0001-19</t>
  </si>
  <si>
    <t>RNDP11</t>
  </si>
  <si>
    <t>BB RENDA DE PAPÉIS IMOBILIÁRIOS FDO INV IMOB - FII</t>
  </si>
  <si>
    <t>15.394.563/0001-89</t>
  </si>
  <si>
    <t>RNGO11</t>
  </si>
  <si>
    <t>FDO INV IMOB RIO NEGRO - FII</t>
  </si>
  <si>
    <t>15.006.286/0001-90</t>
  </si>
  <si>
    <t>ROOF11</t>
  </si>
  <si>
    <t>FUNDO DE INVESTIMENTO IMOBILIÁRIO ROOFTOP I</t>
  </si>
  <si>
    <t>38.456.598/0001-09</t>
  </si>
  <si>
    <t>RPRI11</t>
  </si>
  <si>
    <t>RBR PREMIUM RECEBÍVEIS IMOBILIÁRIOS FDO INV IMOB</t>
  </si>
  <si>
    <t>42.502.842/0001-91</t>
  </si>
  <si>
    <t>RRCI11</t>
  </si>
  <si>
    <t>RB CAPITAL RECEBÍVEIS IMOB. FDO. INVEST. IMOB FII</t>
  </si>
  <si>
    <t>35.689.733/0001-60</t>
  </si>
  <si>
    <t>RSPD11</t>
  </si>
  <si>
    <t>RB CAPITAL DESENV RESID III FDO INV IMOB - FII</t>
  </si>
  <si>
    <t>19.249.989/0001-08</t>
  </si>
  <si>
    <t>RTEL16</t>
  </si>
  <si>
    <t>BRC - II FUNDO DE INVESTIMENTO IMOBILIÁRIO</t>
  </si>
  <si>
    <t>43.862.625/0001-75</t>
  </si>
  <si>
    <t>RVBI11</t>
  </si>
  <si>
    <t>VBI REITS MULTIESTRATÉGIA FDO. INV. IMOB</t>
  </si>
  <si>
    <t>35.507.457/0001-71</t>
  </si>
  <si>
    <t>RZAK11</t>
  </si>
  <si>
    <t>RIZA AKIN FDO. INV. IMOB. FII</t>
  </si>
  <si>
    <t>36.642.219/0001-31</t>
  </si>
  <si>
    <t>RZAT11</t>
  </si>
  <si>
    <t>RIZA ARCTIUM REAL ESTATE FDO INV IMOB</t>
  </si>
  <si>
    <t>28.267.696/0001-36</t>
  </si>
  <si>
    <t>RZTR11</t>
  </si>
  <si>
    <t>FUNDO DE INVESTIMENTO IMOBILIÁRIO RIZA TERRAX</t>
  </si>
  <si>
    <t>36.501.128/0001-86</t>
  </si>
  <si>
    <t>SADI11</t>
  </si>
  <si>
    <t>SANTANDER PAPEIS IMOB CDI FDO INV IMOB</t>
  </si>
  <si>
    <t>32.903.521/0001-45</t>
  </si>
  <si>
    <t>SAIC11B</t>
  </si>
  <si>
    <t>FDO INV IMOB - FII SIA CORPORATE</t>
  </si>
  <si>
    <t>17.311.079/0001-74</t>
  </si>
  <si>
    <t>SAPI11</t>
  </si>
  <si>
    <t>SANTANDER PAPÉIS IMOBILIÁRIOS FDO DE INV IMOB</t>
  </si>
  <si>
    <t>51.646.298/0001-42</t>
  </si>
  <si>
    <t>SARE11</t>
  </si>
  <si>
    <t>SANTANDER RENDA DE ALUGUÉIS FDO. INVEST. IMOB.</t>
  </si>
  <si>
    <t>32.903.702/0001-71</t>
  </si>
  <si>
    <t>SCPF11</t>
  </si>
  <si>
    <t>FDO INV IMOB SCP</t>
  </si>
  <si>
    <t>01.657.856/0001-05</t>
  </si>
  <si>
    <t>SEED11</t>
  </si>
  <si>
    <t>HEDGE SEED FUNDO DE INVESTIMENTO IMOBILIÁRIO</t>
  </si>
  <si>
    <t>35.689.497/0001-81</t>
  </si>
  <si>
    <t>SEQR11</t>
  </si>
  <si>
    <t>SEQUOIA III RENDA IMOBILIÁRIA - FDO. INV. IMOB.</t>
  </si>
  <si>
    <t>09.517.273/0001-82</t>
  </si>
  <si>
    <t>SHOP11</t>
  </si>
  <si>
    <t>MULTI SHOPPINGS FDO INV IMOB - FII</t>
  </si>
  <si>
    <t>22.459.737/0001-00</t>
  </si>
  <si>
    <t>SHPH11</t>
  </si>
  <si>
    <t>FDO INV IMOB SHOPPING PÁTIO HIGIENÓPOLIS</t>
  </si>
  <si>
    <t>03.507.519/0001-59</t>
  </si>
  <si>
    <t>SIGR11</t>
  </si>
  <si>
    <t>SJAU11</t>
  </si>
  <si>
    <t>SJ AU LOGÍSTICA FDO. INV. IMOB.</t>
  </si>
  <si>
    <t>27.771.547/0001-47</t>
  </si>
  <si>
    <t>SMRE11</t>
  </si>
  <si>
    <t>FDO INV IMOB SMART REAL ESTATE - FII RESP LIMITADA</t>
  </si>
  <si>
    <t>53.730.029/0001-95</t>
  </si>
  <si>
    <t>SNCI11</t>
  </si>
  <si>
    <t>SUNO RECEBÍVEIS IMOBILIÁRIOS FDO DE INV IMOB</t>
  </si>
  <si>
    <t>41.076.710/0001-82</t>
  </si>
  <si>
    <t>SNEL11</t>
  </si>
  <si>
    <t>FUNDO DE INVEST IMOBILIARIO SUNO ENERGIAS LIMPAS</t>
  </si>
  <si>
    <t>43.741.171/0001-84</t>
  </si>
  <si>
    <t>SNFF11</t>
  </si>
  <si>
    <t>SUNO FUNDO DE FUNDOS DE INVESTIMENTO IMOBILIÁRIO</t>
  </si>
  <si>
    <t>40.011.225/0001-68</t>
  </si>
  <si>
    <t>SNLG11</t>
  </si>
  <si>
    <t>SUNO LOG FUNDO DE INVESTIMENTO IMOBILIÁRIO</t>
  </si>
  <si>
    <t>40.041.711/0001-29</t>
  </si>
  <si>
    <t>SNME11</t>
  </si>
  <si>
    <t>SUNO MULTIESTRATÉGIA FDO DE INV IMOB</t>
  </si>
  <si>
    <t>52.227.760/0001-30</t>
  </si>
  <si>
    <t>SOLR11</t>
  </si>
  <si>
    <t>SOLARIUM FII - FDO INV. IMOB.</t>
  </si>
  <si>
    <t>22.169.671/0001-13</t>
  </si>
  <si>
    <t>SPDE11</t>
  </si>
  <si>
    <t>WHG FINVEST SP REALTY FDO DE INV IMOB - FII</t>
  </si>
  <si>
    <t>43.741.150/0001-69</t>
  </si>
  <si>
    <t>SPGM11</t>
  </si>
  <si>
    <t>SPGM FDO DE INV IMOB - RESP LIM</t>
  </si>
  <si>
    <t>53.127.942/0001-00</t>
  </si>
  <si>
    <t>SPGM15</t>
  </si>
  <si>
    <t>SPGM16</t>
  </si>
  <si>
    <t>SPMO11</t>
  </si>
  <si>
    <t>SUPREMO FUNDO DE INVESTIMENTO IMOBILIÁRIO</t>
  </si>
  <si>
    <t>40.225.262/0001-79</t>
  </si>
  <si>
    <t>SPTW11</t>
  </si>
  <si>
    <t>SP DOWNTOWN FDO INV IMOB - FII</t>
  </si>
  <si>
    <t>15.538.445/0001-05</t>
  </si>
  <si>
    <t>SPXS11</t>
  </si>
  <si>
    <t>FUNDO DE INVESTIMENTO IMOBILIÁRIO - SPX SYN MULT</t>
  </si>
  <si>
    <t>43.010.543/0001-00</t>
  </si>
  <si>
    <t>STRX11</t>
  </si>
  <si>
    <t>STARX FDO INV IMOB - FII</t>
  </si>
  <si>
    <t>11.044.355/0001-07</t>
  </si>
  <si>
    <t>TCIN11</t>
  </si>
  <si>
    <t>G5 CIDADE NOVA FDO. INVEST. IMOB.</t>
  </si>
  <si>
    <t>34.197.700/0001-30</t>
  </si>
  <si>
    <t>TCIN12</t>
  </si>
  <si>
    <t>TEPP11</t>
  </si>
  <si>
    <t>TELLUS PROPERTIES - FDO INV. IMOB</t>
  </si>
  <si>
    <t>26.681.370/0001-25</t>
  </si>
  <si>
    <t>TGAR11</t>
  </si>
  <si>
    <t>FDO INV IMOB TG ATIVO REAL</t>
  </si>
  <si>
    <t>25.032.881/0001-53</t>
  </si>
  <si>
    <t>TJKB11</t>
  </si>
  <si>
    <t>TJK RENDA IMOBILIÁRIA FDO INV IMOB</t>
  </si>
  <si>
    <t>39.714.024/0001-48</t>
  </si>
  <si>
    <t>TMPS11</t>
  </si>
  <si>
    <t>ITAÚ TEMPUS FUNDO DE INVESTIMENTO IMOBILIÁRIO</t>
  </si>
  <si>
    <t>42.737.077/0001-99</t>
  </si>
  <si>
    <t>TORD11</t>
  </si>
  <si>
    <t>TORDESILHAS EI FDO. INV. IMOB.</t>
  </si>
  <si>
    <t>30.230.870/0001-18</t>
  </si>
  <si>
    <t>TRBL11</t>
  </si>
  <si>
    <t>FDO DE INVEST IMOB TELLUS RIO BRAVO RENDA LOGISTIC</t>
  </si>
  <si>
    <t>16.671.412/0001-93</t>
  </si>
  <si>
    <t>TRNT11</t>
  </si>
  <si>
    <t>FDO INV IMOB - FII TORRE NORTE</t>
  </si>
  <si>
    <t>04.722.883/0001-02</t>
  </si>
  <si>
    <t>TRXB11</t>
  </si>
  <si>
    <t>TRX REAL ESTATE II FDO. INVEST. IMOB.</t>
  </si>
  <si>
    <t>36.368.925/0001-37</t>
  </si>
  <si>
    <t>TRXF11</t>
  </si>
  <si>
    <t>TRX REAL ESTATE FDO. INV. IMOB. - FII</t>
  </si>
  <si>
    <t>28.548.288/0001-52</t>
  </si>
  <si>
    <t>TSER11</t>
  </si>
  <si>
    <t>TISHMAN SPEYER RENDA CORPORATIVA FDO. INV. IMOB.</t>
  </si>
  <si>
    <t>34.847.042/0001-84</t>
  </si>
  <si>
    <t>TSNC11</t>
  </si>
  <si>
    <t>TRANSINC FDO INV IMOB - FII</t>
  </si>
  <si>
    <t>17.007.443/0001-07</t>
  </si>
  <si>
    <t>TVRI11</t>
  </si>
  <si>
    <t>TIVIO RENDA IMOBILIÁRIA FUNDO DE INVESTIMENTO IMOB</t>
  </si>
  <si>
    <t>14.410.722/0001-29</t>
  </si>
  <si>
    <t>URHF11</t>
  </si>
  <si>
    <t>URCA HEDGE FUND MULT IMOB FDO INV IMOB - RESP LIM</t>
  </si>
  <si>
    <t>52.649.350/0001-87</t>
  </si>
  <si>
    <t>URPR11</t>
  </si>
  <si>
    <t>URCA PRIME RENDA FUNDO DE INVESTIMENTO IMOBILIÁRIO</t>
  </si>
  <si>
    <t>34.508.872/0001-87</t>
  </si>
  <si>
    <t>VCJR11</t>
  </si>
  <si>
    <t>VECTIS JUROS REAL FDO INV. IMOB. - FII</t>
  </si>
  <si>
    <t>32.400.250/0001-05</t>
  </si>
  <si>
    <t>VCRI11</t>
  </si>
  <si>
    <t>VINCI CREDIT SECURITIES FUNDO DE INVESTIMENTO IMOB</t>
  </si>
  <si>
    <t>41.081.374/0001-66</t>
  </si>
  <si>
    <t>VCRR11</t>
  </si>
  <si>
    <t>VECTIS RENDA RESIDENCIAL FDO. INV. IMOB.</t>
  </si>
  <si>
    <t>40.041.723/0001-53</t>
  </si>
  <si>
    <t>VERE11</t>
  </si>
  <si>
    <t>FDO INV IMOB VEREDA - FII</t>
  </si>
  <si>
    <t>08.693.497/0001-82</t>
  </si>
  <si>
    <t>VGHF11</t>
  </si>
  <si>
    <t>VALORA HEDGE FUND FDO. INV. IMOB.</t>
  </si>
  <si>
    <t>36.771.692/0001-19</t>
  </si>
  <si>
    <t>VGII11</t>
  </si>
  <si>
    <t>VALORA CRI INFRA II FII DE RESP. LTDA</t>
  </si>
  <si>
    <t>52.649.680/0001-72</t>
  </si>
  <si>
    <t>VGIP11</t>
  </si>
  <si>
    <t>VALORA CRI ÍNDICE DE PREÇO FDO INVEST. IMOB. FII</t>
  </si>
  <si>
    <t>34.197.811/0001-46</t>
  </si>
  <si>
    <t>VGIR11</t>
  </si>
  <si>
    <t>VALORA CRI CDI FUNDO DE INVESTIMENTO IMOBILIÁRIO</t>
  </si>
  <si>
    <t>29.852.732/0001-91</t>
  </si>
  <si>
    <t>VGRI11</t>
  </si>
  <si>
    <t>VALORA RENDA IMOB FUNDO DE INVES IMOB -RESP LIMIT</t>
  </si>
  <si>
    <t>53.656.482/0001-07</t>
  </si>
  <si>
    <t>VIFI11</t>
  </si>
  <si>
    <t>VINCI INSTRUMENTOS FINANCEIROS FDO INV IMOB - FII</t>
  </si>
  <si>
    <t>31.547.855/0001-60</t>
  </si>
  <si>
    <t>VILG11</t>
  </si>
  <si>
    <t>VINCI LOGÍSTICA FDO INV IMOB - FII</t>
  </si>
  <si>
    <t>24.853.044/0001-22</t>
  </si>
  <si>
    <t>VINO11</t>
  </si>
  <si>
    <t>VINCI OFFICES FDO INV IMOB</t>
  </si>
  <si>
    <t>12.516.185/0001-70</t>
  </si>
  <si>
    <t>VISC11</t>
  </si>
  <si>
    <t>VINCI SHOPPING CENTERS FDO INVEST IMOB - FII</t>
  </si>
  <si>
    <t>17.554.274/0001-25</t>
  </si>
  <si>
    <t>VIUR11</t>
  </si>
  <si>
    <t>VINCI IMÓVEIS URBANOS FDO. DE INV. IMOB.</t>
  </si>
  <si>
    <t>36.445.587/0001-90</t>
  </si>
  <si>
    <t>VOTS11</t>
  </si>
  <si>
    <t>TIVIO SECURITIES FUNDO DE INVESTIMENTO IMOBILIÁRIO</t>
  </si>
  <si>
    <t>17.870.926/0001-30</t>
  </si>
  <si>
    <t>VPSI11</t>
  </si>
  <si>
    <t>FDO INV IMOB POLO SHOPPING INDAIATUBA</t>
  </si>
  <si>
    <t>14.721.889/0001-00</t>
  </si>
  <si>
    <t>VRTA11</t>
  </si>
  <si>
    <t>FATOR VERITA FDO INV IMOB - FII</t>
  </si>
  <si>
    <t>11.664.201/0001-00</t>
  </si>
  <si>
    <t>VRTM11</t>
  </si>
  <si>
    <t>FATOR VERITÀ MULTIESTRATÉGIA FDO INV IMOB</t>
  </si>
  <si>
    <t>51.870.412/0001-13</t>
  </si>
  <si>
    <t>VSHO11</t>
  </si>
  <si>
    <t>FDO INV IMOB VOTORANTIM SHOPPING</t>
  </si>
  <si>
    <t>23.740.595/0001-17</t>
  </si>
  <si>
    <t>VSLH11</t>
  </si>
  <si>
    <t>VERSALHES RECEBÍVEIS IMOBILIÁRIOS - FDO. INV. IMOB</t>
  </si>
  <si>
    <t>36.244.015/0001-42</t>
  </si>
  <si>
    <t>VTLT11</t>
  </si>
  <si>
    <t>FDO INV IMOB VOTORANTIM LOGISTICA</t>
  </si>
  <si>
    <t>27.368.600/0001-63</t>
  </si>
  <si>
    <t>VTPL11</t>
  </si>
  <si>
    <t>FDO INV. IMOB. PLUS</t>
  </si>
  <si>
    <t>15.098.422/0001-19</t>
  </si>
  <si>
    <t>VVCO11</t>
  </si>
  <si>
    <t>V2 EDIFICIOS CORPORATIVOS FDO INV IMOB - FII</t>
  </si>
  <si>
    <t>15.006.267/0001-63</t>
  </si>
  <si>
    <t>VVCR11</t>
  </si>
  <si>
    <t>V2 RECEBÍVEIS IMOBILIÁRIOS FUNDO DE INVESTIMENTO I</t>
  </si>
  <si>
    <t>23.120.027/0001-13</t>
  </si>
  <si>
    <t>VVMR11</t>
  </si>
  <si>
    <t>VVRI11</t>
  </si>
  <si>
    <t>V2 RENDA IMOBILIÁRIA FDO DE INV IMOB</t>
  </si>
  <si>
    <t>49.184.940/0001-77</t>
  </si>
  <si>
    <t>VXXV11</t>
  </si>
  <si>
    <t>GENESIS MULTIESTRATÉGIA FDO INV. IMOB.</t>
  </si>
  <si>
    <t>30.982.974/0001-89</t>
  </si>
  <si>
    <t>WHGR11</t>
  </si>
  <si>
    <t>WHG REAL ESTATE FUNDO DE INVESTIMENTO IMOBILIÁRIO</t>
  </si>
  <si>
    <t>41.256.643/0001-88</t>
  </si>
  <si>
    <t>WPLZ11</t>
  </si>
  <si>
    <t>SHOPPING WEST PLAZA FDO INV IMOB</t>
  </si>
  <si>
    <t>09.326.861/0001-39</t>
  </si>
  <si>
    <t>WSEC11</t>
  </si>
  <si>
    <t>WARREN SECURITIES FDO DE INV IMOB - FII</t>
  </si>
  <si>
    <t>43.440.579/0001-16</t>
  </si>
  <si>
    <t>WTSP11</t>
  </si>
  <si>
    <t>FDO INV IMOB - OURINVEST RE I</t>
  </si>
  <si>
    <t>28.693.595/0001-27</t>
  </si>
  <si>
    <t>XPCI11</t>
  </si>
  <si>
    <t>XP CREDITO IMOBILIÁRIO - FDO INV IMOB</t>
  </si>
  <si>
    <t>28.516.301/0001-91</t>
  </si>
  <si>
    <t>XPCM11</t>
  </si>
  <si>
    <t>XP CORPORATE MACAÉ FDO INV IMOB - FII</t>
  </si>
  <si>
    <t>16.802.320/0001-03</t>
  </si>
  <si>
    <t>XPIN11</t>
  </si>
  <si>
    <t>XP INDUSTRIAL FDO INV IMOB - FII</t>
  </si>
  <si>
    <t>28.516.325/0001-40</t>
  </si>
  <si>
    <t>XPLG11</t>
  </si>
  <si>
    <t>XP LOG FDO INV IMOB - FII</t>
  </si>
  <si>
    <t>26.502.794/0001-85</t>
  </si>
  <si>
    <t>XPML11</t>
  </si>
  <si>
    <t>XP MALLS FDO INV IMOB FII</t>
  </si>
  <si>
    <t>28.757.546/0001-00</t>
  </si>
  <si>
    <t>XPPR11</t>
  </si>
  <si>
    <t>XP PROPERTIES FDO. INV. IMOB.</t>
  </si>
  <si>
    <t>30.654.849/0001-40</t>
  </si>
  <si>
    <t>XPSF11</t>
  </si>
  <si>
    <t>XP SELECTION FDO DE FUNDOS INV IMOB - FII</t>
  </si>
  <si>
    <t>30.983.020/0001-90</t>
  </si>
  <si>
    <t>YEES11</t>
  </si>
  <si>
    <t>HEDGE YEES HABITAÇÕES ECON FDO DE INV IMOB RESP L</t>
  </si>
  <si>
    <t>51.385.174/0001-50</t>
  </si>
  <si>
    <t>YUFI11</t>
  </si>
  <si>
    <t>YUCA FDO INV. IMOB.</t>
  </si>
  <si>
    <t>36.445.551/0001-06</t>
  </si>
  <si>
    <t>ZAGH11</t>
  </si>
  <si>
    <t>ZAGROS MULTIESTRATÉGIA FDO DE INV IMOB</t>
  </si>
  <si>
    <t>45.188.066/0001-95</t>
  </si>
  <si>
    <t>ZAVC11</t>
  </si>
  <si>
    <t>ZAVIT CRÉDITO IMOBILIÁRIO - FDO INV IMOB</t>
  </si>
  <si>
    <t>52.101.897/0001-43</t>
  </si>
  <si>
    <t>ZAVI11</t>
  </si>
  <si>
    <t>ZAVIT REAL ESTATE FUND - FDO INV IMOB</t>
  </si>
  <si>
    <t>40.575.940/0001-23</t>
  </si>
  <si>
    <t>ZIFI11</t>
  </si>
  <si>
    <t>ZION CAPITAL FUNDO DE INVESTIMENTO IMOBILIÁRIO FII</t>
  </si>
  <si>
    <t>35.820.768/0001-96</t>
  </si>
  <si>
    <t>AAGR11</t>
  </si>
  <si>
    <t>ASSET BANK AGRONEGÓCIOS FIAGRO -DC</t>
  </si>
  <si>
    <t>44.585.001/0001-10</t>
  </si>
  <si>
    <t>AAZQ11</t>
  </si>
  <si>
    <t>AZ QUEST SOLE FDO DE INV - FIAGRO - IMOB RESP LIM</t>
  </si>
  <si>
    <t>44.625.826/0001-11</t>
  </si>
  <si>
    <t>AGRX11</t>
  </si>
  <si>
    <t>FDO INV CAD PRO AGRO EXES ARAGUAIA – FIAGRO IMOB</t>
  </si>
  <si>
    <t>43.951.911/0001-07</t>
  </si>
  <si>
    <t>BRFT11</t>
  </si>
  <si>
    <t>BRADESCO FARMTECH FIDC DC RESP LIMITADA</t>
  </si>
  <si>
    <t>52.512.069/0001-06</t>
  </si>
  <si>
    <t>CPTR11</t>
  </si>
  <si>
    <t>CAPITANIA AGRO STRATEGIES – FIAGRO – IMOB RESP LIM</t>
  </si>
  <si>
    <t>42.537.579/0001-76</t>
  </si>
  <si>
    <t>CPTR12</t>
  </si>
  <si>
    <t>CAPITANIA AGRO STRATEGIES - FIAGRO - IMOBILIÁRIO</t>
  </si>
  <si>
    <t>CRAA11</t>
  </si>
  <si>
    <t>SPARTA FIAGRO FDO INV NAS CAD PROD AGRO RESP LIM</t>
  </si>
  <si>
    <t>48.903.610/0001-21</t>
  </si>
  <si>
    <t>CTEM11</t>
  </si>
  <si>
    <t>CAETÊ FIAGRO - FI NAS CAD PROD DO AGRO</t>
  </si>
  <si>
    <t>50.749.446/0001-91</t>
  </si>
  <si>
    <t>DCRA11</t>
  </si>
  <si>
    <t>DEVANT FDO INV NAS CAD PROD AGRONEGOCIO</t>
  </si>
  <si>
    <t>42.888.360/0001-11</t>
  </si>
  <si>
    <t>EGAF11</t>
  </si>
  <si>
    <t>ECOAGRO I FIAGRO – RESPONSABILIDADE LIMITADA</t>
  </si>
  <si>
    <t>41.224.330/0001-48</t>
  </si>
  <si>
    <t>FGAA11</t>
  </si>
  <si>
    <t>FG/AGRO FDO DE INVEST - FIAGRO - IMOB RESP LIM</t>
  </si>
  <si>
    <t>42.405.905/0001-91</t>
  </si>
  <si>
    <t>FTCA11</t>
  </si>
  <si>
    <t>FYTO RECEBÍVEIS DO AGRO - FIAGRO IMOB RESP LIM</t>
  </si>
  <si>
    <t>42.537.438/0001-53</t>
  </si>
  <si>
    <t>FZDA11</t>
  </si>
  <si>
    <t>TANE FZDA FDO DE INV EM CADEIAS PRODUTIVAS AGROIND</t>
  </si>
  <si>
    <t>44.625.694/0001-28</t>
  </si>
  <si>
    <t>FZDB11</t>
  </si>
  <si>
    <t>TANE FZDB FUNDO DE INVESTIMENTO NAS CADEIAS PROD</t>
  </si>
  <si>
    <t>49.489.928/0001-70</t>
  </si>
  <si>
    <t>GCRA11</t>
  </si>
  <si>
    <t>GALÁPAGOS RECEB. DO AGRO – FIAGRO RESP LIM</t>
  </si>
  <si>
    <t>37.037.297/0001-70</t>
  </si>
  <si>
    <t>GRWA11</t>
  </si>
  <si>
    <t>GREENWICH AGRO FIAGRO - IMOBILIÁRIO RESP LIM</t>
  </si>
  <si>
    <t>47.240.671/0001-93</t>
  </si>
  <si>
    <t>HCRA15</t>
  </si>
  <si>
    <t>HEDGE CRÉDITO AGRO FIAGRO-DIREITOS CREDITÓRIOS</t>
  </si>
  <si>
    <t>44.668.806/0001-28</t>
  </si>
  <si>
    <t>HCRA16</t>
  </si>
  <si>
    <t>HEDGE CRÉDITO AGRO FIAGRO DE RESP LIMITADA</t>
  </si>
  <si>
    <t>HCRA17</t>
  </si>
  <si>
    <t>HGAG11</t>
  </si>
  <si>
    <t>HIGH FUNDO DE INV AGRO NAS CAD DO AGRO</t>
  </si>
  <si>
    <t>40.343.867/0001-64</t>
  </si>
  <si>
    <t>IAAG11</t>
  </si>
  <si>
    <t>INTER AMERRA - FIAGRO - IMOB RESP LIM</t>
  </si>
  <si>
    <t>42.692.399/0001-69</t>
  </si>
  <si>
    <t>IAGR11</t>
  </si>
  <si>
    <t>SFI INVESTIMENTOS DO AGRONEGÓCIO - FIAGRO RESP LIM</t>
  </si>
  <si>
    <t>44.286.898/0001-81</t>
  </si>
  <si>
    <t>JGPX11</t>
  </si>
  <si>
    <t>JGP CREDITO AGRONEGO IMOB R LIM</t>
  </si>
  <si>
    <t>42.888.292/0001-90</t>
  </si>
  <si>
    <t>KDOL11</t>
  </si>
  <si>
    <t>KINEA AGRO INCOME USD FIAGRO-IMOB RESP LIM</t>
  </si>
  <si>
    <t>51.641.681/0001-08</t>
  </si>
  <si>
    <t>KNCA11</t>
  </si>
  <si>
    <t>KINEA CRÉDITO AGRO FIAGRO RESP LIM</t>
  </si>
  <si>
    <t>41.745.701/0001-37</t>
  </si>
  <si>
    <t>KOPA11</t>
  </si>
  <si>
    <t>KINEA OPORTUNIDADES AGRO I FIAGRO-IMOB RESP LIM</t>
  </si>
  <si>
    <t>51.475.461/0001-51</t>
  </si>
  <si>
    <t>LSAG11</t>
  </si>
  <si>
    <t>RIZA AGRO II FUNDO DE INV NAS CADEIAS PROD DO AGRO</t>
  </si>
  <si>
    <t>42.592.476/0001-09</t>
  </si>
  <si>
    <t>NCRA11</t>
  </si>
  <si>
    <t>NEXG11</t>
  </si>
  <si>
    <t>NEX CRÉDITO AGRO FI CAD PROD AGRO FIAG IMOB R. LIM</t>
  </si>
  <si>
    <t>52.044.477/0001-72</t>
  </si>
  <si>
    <t>OIAG11</t>
  </si>
  <si>
    <t>OURINVEST INNOVATION – FIAGRO IMOBILIÁRIO RESP LIM</t>
  </si>
  <si>
    <t>41.218.352/0001-03</t>
  </si>
  <si>
    <t>PLCA11</t>
  </si>
  <si>
    <t>PATRIA CRÉDITO AGRO - FIAGRO - RESP LIM</t>
  </si>
  <si>
    <t>41.272.747/0001-86</t>
  </si>
  <si>
    <t>RURA11</t>
  </si>
  <si>
    <t>ITAU ASSET RURAL FIAGRO – IMOBILIÁRIO RESP LIM</t>
  </si>
  <si>
    <t>42.479.593/0001-60</t>
  </si>
  <si>
    <t>RZAG11</t>
  </si>
  <si>
    <t>RIZA AGRO FI NAS CADEIAS PROD DO AGRO - FIAGRO</t>
  </si>
  <si>
    <t>40.413.979/0001-44</t>
  </si>
  <si>
    <t>RZEO11</t>
  </si>
  <si>
    <t>RIZA EOS FDO DE INV NAS CAD PROD - FIAGRO - IMOB</t>
  </si>
  <si>
    <t>45.718.511/0001-81</t>
  </si>
  <si>
    <t>SMRT11</t>
  </si>
  <si>
    <t>CAURIS FUNDO DE INV EM COTAS DE FUNDO DE FIDC</t>
  </si>
  <si>
    <t>59.450.268/0001-78</t>
  </si>
  <si>
    <t>SNAG11</t>
  </si>
  <si>
    <t>SUNO AGRO - FIAGRO RESP LIM</t>
  </si>
  <si>
    <t>28.152.777/0001-90</t>
  </si>
  <si>
    <t>SNFZ11</t>
  </si>
  <si>
    <t>SUNO FAZENDAS FIAGRO – IMOBILIÁRIO</t>
  </si>
  <si>
    <t>53.313.475/0001-02</t>
  </si>
  <si>
    <t>VCRA11</t>
  </si>
  <si>
    <t>VECTIS DATAGRO CR AGR – FDO INV CAD AG RESP LIM</t>
  </si>
  <si>
    <t>42.502.827/0001-43</t>
  </si>
  <si>
    <t>VGIA11</t>
  </si>
  <si>
    <t>VALORA CRA FDO INV NAS CAD PROD AGRO - FIAGRO</t>
  </si>
  <si>
    <t>41.081.088/0001-09</t>
  </si>
  <si>
    <t>VHFA11</t>
  </si>
  <si>
    <t>VALORA HEDGE FUND AGRO – FIAGRO – IMOB RESP LIM</t>
  </si>
  <si>
    <t>51.658.280/0001-60</t>
  </si>
  <si>
    <t>XPCA11</t>
  </si>
  <si>
    <t>XP CRÉDITO AGRÍCOLA FI FIAGRO IMOB RESP LIM</t>
  </si>
  <si>
    <t>41.269.527/0001-01</t>
  </si>
  <si>
    <t>BDIF11</t>
  </si>
  <si>
    <t>BTG PACTUAL DÍVIDA INFRA FIC. FDO. INC. IE. RF. CP</t>
  </si>
  <si>
    <t>40.502.607/0001-94</t>
  </si>
  <si>
    <t>BIDB11</t>
  </si>
  <si>
    <t>INTER INFRA FIC INFRA RENDA FIXA CRÉDITO PRIVADO</t>
  </si>
  <si>
    <t>42.294.971/0001-31</t>
  </si>
  <si>
    <t>BINC11</t>
  </si>
  <si>
    <t>BRADESCO FIC DE FI FIN RF INV IE CDI RF CP RES LIM</t>
  </si>
  <si>
    <t>55.239.865/0001-05</t>
  </si>
  <si>
    <t>BODB11</t>
  </si>
  <si>
    <t>BOCAINA INFRA - FDO INV COTAS FDO INV INFRA RF CP</t>
  </si>
  <si>
    <t>41.771.670/0001-99</t>
  </si>
  <si>
    <t>CDII11</t>
  </si>
  <si>
    <t>SPARTA INFRA CDI FIC FI INFRA RENDA FIXA CP</t>
  </si>
  <si>
    <t>48.973.783/0001-16</t>
  </si>
  <si>
    <t>CPTI11</t>
  </si>
  <si>
    <t>CAPITÂNIA FDO. INV. FINANCEIRO IE. RF.</t>
  </si>
  <si>
    <t>38.065.012/0001-77</t>
  </si>
  <si>
    <t>DBIN11</t>
  </si>
  <si>
    <t>RB INFRA FI FIC RENDA FIXA RES LTDA</t>
  </si>
  <si>
    <t>55.826.668/0001-84</t>
  </si>
  <si>
    <t>DIVS11</t>
  </si>
  <si>
    <t>SPARTA INFRA INFLAÇÃO LONGA FI COTAS FI INFRA E RE</t>
  </si>
  <si>
    <t>58.390.457/0001-30</t>
  </si>
  <si>
    <t>EXIF11</t>
  </si>
  <si>
    <t>ÉXES FIC FI INFRA RENDA FIXA PRIVADO LONGO PRAZO</t>
  </si>
  <si>
    <t>54.803.944/0001-26</t>
  </si>
  <si>
    <t>IFRA11</t>
  </si>
  <si>
    <t>ITAÚ FIF - CIC FIF INCEN EM INFRA RF CRED PRIV - R</t>
  </si>
  <si>
    <t>34.633.510/0001-18</t>
  </si>
  <si>
    <t>IFRI11</t>
  </si>
  <si>
    <t>ITAÚ FIC FI INVEST FINAN INFRA CDI RF CRED PRIV</t>
  </si>
  <si>
    <t>53.556.099/0001-79</t>
  </si>
  <si>
    <t>INFB11</t>
  </si>
  <si>
    <t>DRYS FDO INV EM COTAS DE FDO INC DE INV INFRA RF</t>
  </si>
  <si>
    <t>54.810.341/0001-51</t>
  </si>
  <si>
    <t>IRIF11</t>
  </si>
  <si>
    <t>IRIDIUM INFRA FUN DE INV EM COTAS DE FUN INCENT</t>
  </si>
  <si>
    <t>55.940.336/0001-26</t>
  </si>
  <si>
    <t>ISEN11</t>
  </si>
  <si>
    <t>ITAÚ ISENTO MARÇO 29 FIC FIIF INFRA RF RESP LIM</t>
  </si>
  <si>
    <t>60.365.845/0001-02</t>
  </si>
  <si>
    <t>ISET11</t>
  </si>
  <si>
    <t>ITAÚ ISENTO SETEMBRO 28 FIC FIIF INFRA RF RESP LIM</t>
  </si>
  <si>
    <t>60.365.671/0001-88</t>
  </si>
  <si>
    <t>ISNT11</t>
  </si>
  <si>
    <t>ITAÚ ISENTO MARÇO 28 FIC FIIF INFRA RF RESP LIM</t>
  </si>
  <si>
    <t>60.365.430/0001-39</t>
  </si>
  <si>
    <t>ISTT11</t>
  </si>
  <si>
    <t>ITAÚ ISENTO SETEMBRO 29 FIC FIIF INFRA RENDA FIXA</t>
  </si>
  <si>
    <t>61.351.720/0001-96</t>
  </si>
  <si>
    <t>JMBI11</t>
  </si>
  <si>
    <t>JIVEMAUÁ BOSSANOVA F. DE IN. EM C. DE F. INC.</t>
  </si>
  <si>
    <t>55.276.939/0001-75</t>
  </si>
  <si>
    <t>JURO11</t>
  </si>
  <si>
    <t>SPARTA INFRA FIC FI INFRA RENDA FIXA CP</t>
  </si>
  <si>
    <t>42.730.834/0001-00</t>
  </si>
  <si>
    <t>KDIF11</t>
  </si>
  <si>
    <t>KINEA INFRA - FDO INV COTAS FDO INC. INV INF RF CP</t>
  </si>
  <si>
    <t>26.324.298/0001-89</t>
  </si>
  <si>
    <t>NUIF11</t>
  </si>
  <si>
    <t>NU INFRA FIC INCENTIVADO EM INFRAESTRUTURA RF CP</t>
  </si>
  <si>
    <t>40.963.403/0001-50</t>
  </si>
  <si>
    <t>OGIN11</t>
  </si>
  <si>
    <t>NIKOS FUNDO DE INVESTIMENTO FINANCEIRO</t>
  </si>
  <si>
    <t>46.420.627/0001-00</t>
  </si>
  <si>
    <t>PRIF11</t>
  </si>
  <si>
    <t>PÁTRIA CRÉDITO INFRA RENDA FUN DE INV FIN EM COTAS</t>
  </si>
  <si>
    <t>58.005.595/0001-58</t>
  </si>
  <si>
    <t>RBIF11</t>
  </si>
  <si>
    <t>RIO BRAVO ESG IS FUNDO DE INVESTIMENTO FINANCEIRO</t>
  </si>
  <si>
    <t>38.314.962/0001-98</t>
  </si>
  <si>
    <t>RIFF11</t>
  </si>
  <si>
    <t>RIFF FDO DE INV CF INC DE INV INF RF RESP LIM</t>
  </si>
  <si>
    <t>54.895.184/0001-24</t>
  </si>
  <si>
    <t>SNID11</t>
  </si>
  <si>
    <t>SUNO INFRA DEBÊNTURES FIC. FDO. INC. IE. RF</t>
  </si>
  <si>
    <t>48.969.881/0001-80</t>
  </si>
  <si>
    <t>SUIN11</t>
  </si>
  <si>
    <t>SULAMÉRICA INFRA CDI FI FIF INFRA RENDA FIXA</t>
  </si>
  <si>
    <t>58.288.004/0001-05</t>
  </si>
  <si>
    <t>VANG11</t>
  </si>
  <si>
    <t>ICATU VANGUARDA INCENTIVADO EM INFRAESTRUTURA</t>
  </si>
  <si>
    <t>53.248.945/0001-93</t>
  </si>
  <si>
    <t>VINF11</t>
  </si>
  <si>
    <t>VINLAND INFRAESTRUTURA FI FIF DEBENTURES INFRA</t>
  </si>
  <si>
    <t>62.253.563/0001-49</t>
  </si>
  <si>
    <t>XPID11</t>
  </si>
  <si>
    <t>XP FDO INV. COTAS FDO INC. INV. EM INFR. R. FIXA</t>
  </si>
  <si>
    <t>37.404.867/0001-12</t>
  </si>
  <si>
    <t>ETF não puxei, eram 123 páginas.</t>
  </si>
  <si>
    <t>00.000.000/0001-91</t>
  </si>
  <si>
    <t>BTHF11</t>
  </si>
  <si>
    <t>FYTO11</t>
  </si>
  <si>
    <t>MCRE11</t>
  </si>
  <si>
    <t>PCIP11</t>
  </si>
  <si>
    <t>Lajes Corporativas</t>
  </si>
  <si>
    <t>GRUL11</t>
  </si>
  <si>
    <t>CPUR11</t>
  </si>
  <si>
    <t>AZPL11</t>
  </si>
  <si>
    <t>PMLL11</t>
  </si>
  <si>
    <t>BRZP11</t>
  </si>
  <si>
    <t>VIGT11</t>
  </si>
  <si>
    <t>Ativos</t>
  </si>
  <si>
    <t>Tipo de Fundo</t>
  </si>
  <si>
    <t>Fundo de papel</t>
  </si>
  <si>
    <t>Títulos e Valores Mobiliários</t>
  </si>
  <si>
    <t>Híbrido</t>
  </si>
  <si>
    <t>Fiagros</t>
  </si>
  <si>
    <t>Fundo de desenvolvimento</t>
  </si>
  <si>
    <t>Fundo de Tijolo</t>
  </si>
  <si>
    <t>Outro</t>
  </si>
  <si>
    <t>Fundo de fundos</t>
  </si>
  <si>
    <t>Fundo de Infraestrutura (FI-Infra)</t>
  </si>
  <si>
    <t>Logístico / Indústria / Galpões</t>
  </si>
  <si>
    <t>Fundo misto</t>
  </si>
  <si>
    <t>Shoppings / Varejo</t>
  </si>
  <si>
    <t>Hospitalar</t>
  </si>
  <si>
    <t>Fundo de Investimentos em Participações (FIP)</t>
  </si>
  <si>
    <t>Educacional</t>
  </si>
  <si>
    <t>Agências bancárias</t>
  </si>
  <si>
    <t>Fundo de Fundos</t>
  </si>
  <si>
    <t>Hotéis</t>
  </si>
  <si>
    <t>ICNE11</t>
  </si>
  <si>
    <t>AFHF11</t>
  </si>
  <si>
    <t>XLPR11</t>
  </si>
  <si>
    <t>PLAG11</t>
  </si>
  <si>
    <t>BTAG11</t>
  </si>
  <si>
    <t>COPN11</t>
  </si>
  <si>
    <t>AZIN11</t>
  </si>
  <si>
    <t>FIIP11</t>
  </si>
  <si>
    <t>EQIN11</t>
  </si>
  <si>
    <t>TOPP11</t>
  </si>
  <si>
    <t>INLG11</t>
  </si>
  <si>
    <t>ENDD11</t>
  </si>
  <si>
    <t>KNDI11</t>
  </si>
  <si>
    <t>BDIV11</t>
  </si>
  <si>
    <t>BBGO11</t>
  </si>
  <si>
    <t>PPEI11</t>
  </si>
  <si>
    <t>PFIN11</t>
  </si>
  <si>
    <t>MCLO11</t>
  </si>
  <si>
    <t>PSEC11</t>
  </si>
  <si>
    <t>XPIE11</t>
  </si>
  <si>
    <t>KNOX11</t>
  </si>
  <si>
    <t>Também copiei na mão as 2 cols</t>
  </si>
  <si>
    <t>Quando for atualizar ticker, verificar também se existe na base do inv 10</t>
  </si>
  <si>
    <t>Base Investidor 10 - FIIs/FIAgros/FIInfras</t>
  </si>
  <si>
    <t>Puxa categorias com PROCV, qdo não acha: 'Não encontrado'</t>
  </si>
  <si>
    <t>Segmento Inv. 10</t>
  </si>
  <si>
    <t>FIAgro</t>
  </si>
  <si>
    <t>FIInfra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</si>
</sst>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3"/>
  <sheetViews>
    <sheetView workbookViewId="0">
      <selection activeCell="G10" sqref="G10"/>
    </sheetView>
  </sheetViews>
  <sheetFormatPr defaultRowHeight="14.4" x14ac:dyDescent="0.3"/>
  <cols>
    <col min="1" max="1" width="12" customWidth="1"/>
    <col min="2" max="2" width="40" customWidth="1"/>
    <col min="3" max="3" width="25" customWidth="1"/>
    <col min="4" max="4" width="35" customWidth="1"/>
    <col min="5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s="3" t="s">
        <v>8</v>
      </c>
      <c r="E2" s="3" t="s">
        <v>9</v>
      </c>
    </row>
    <row r="3" spans="1:5" x14ac:dyDescent="0.3">
      <c r="A3" t="s">
        <v>10</v>
      </c>
      <c r="B3" t="s">
        <v>11</v>
      </c>
      <c r="C3" t="s">
        <v>12</v>
      </c>
      <c r="D3" s="3" t="s">
        <v>13</v>
      </c>
      <c r="E3" s="3" t="s">
        <v>14</v>
      </c>
    </row>
    <row r="4" spans="1:5" x14ac:dyDescent="0.3">
      <c r="A4" t="s">
        <v>15</v>
      </c>
      <c r="B4" t="s">
        <v>16</v>
      </c>
      <c r="C4" t="s">
        <v>17</v>
      </c>
      <c r="D4" s="3" t="s">
        <v>18</v>
      </c>
      <c r="E4" s="3" t="s">
        <v>19</v>
      </c>
    </row>
    <row r="5" spans="1:5" x14ac:dyDescent="0.3">
      <c r="A5" t="s">
        <v>20</v>
      </c>
      <c r="B5" t="s">
        <v>21</v>
      </c>
      <c r="C5" t="s">
        <v>22</v>
      </c>
      <c r="D5" s="3" t="s">
        <v>23</v>
      </c>
      <c r="E5" s="3" t="s">
        <v>14</v>
      </c>
    </row>
    <row r="6" spans="1:5" x14ac:dyDescent="0.3">
      <c r="A6" t="s">
        <v>24</v>
      </c>
      <c r="B6" t="s">
        <v>25</v>
      </c>
      <c r="C6" t="s">
        <v>26</v>
      </c>
      <c r="D6" s="3" t="s">
        <v>27</v>
      </c>
      <c r="E6" s="3" t="s">
        <v>28</v>
      </c>
    </row>
    <row r="7" spans="1:5" x14ac:dyDescent="0.3">
      <c r="A7" t="s">
        <v>29</v>
      </c>
      <c r="B7" t="s">
        <v>30</v>
      </c>
      <c r="C7" t="s">
        <v>31</v>
      </c>
      <c r="D7" s="3" t="s">
        <v>32</v>
      </c>
      <c r="E7" s="3" t="s">
        <v>33</v>
      </c>
    </row>
    <row r="8" spans="1:5" x14ac:dyDescent="0.3">
      <c r="A8" t="s">
        <v>34</v>
      </c>
      <c r="B8" t="s">
        <v>35</v>
      </c>
      <c r="C8" t="s">
        <v>36</v>
      </c>
      <c r="D8" s="3" t="s">
        <v>32</v>
      </c>
      <c r="E8" s="3" t="s">
        <v>33</v>
      </c>
    </row>
    <row r="9" spans="1:5" x14ac:dyDescent="0.3">
      <c r="A9" t="s">
        <v>37</v>
      </c>
      <c r="B9" t="s">
        <v>38</v>
      </c>
      <c r="C9" t="s">
        <v>39</v>
      </c>
      <c r="D9" s="3" t="s">
        <v>40</v>
      </c>
      <c r="E9" s="3" t="s">
        <v>19</v>
      </c>
    </row>
    <row r="10" spans="1:5" x14ac:dyDescent="0.3">
      <c r="A10" t="s">
        <v>41</v>
      </c>
      <c r="B10" t="s">
        <v>42</v>
      </c>
      <c r="C10" t="s">
        <v>43</v>
      </c>
      <c r="D10" s="3" t="s">
        <v>40</v>
      </c>
      <c r="E10" s="3" t="s">
        <v>19</v>
      </c>
    </row>
    <row r="11" spans="1:5" x14ac:dyDescent="0.3">
      <c r="A11" t="s">
        <v>44</v>
      </c>
      <c r="B11" t="s">
        <v>45</v>
      </c>
      <c r="C11" t="s">
        <v>46</v>
      </c>
      <c r="D11" s="3" t="s">
        <v>47</v>
      </c>
      <c r="E11" s="3" t="s">
        <v>48</v>
      </c>
    </row>
    <row r="12" spans="1:5" x14ac:dyDescent="0.3">
      <c r="A12" t="s">
        <v>49</v>
      </c>
      <c r="B12" t="s">
        <v>45</v>
      </c>
      <c r="C12" t="s">
        <v>46</v>
      </c>
      <c r="D12" s="3" t="s">
        <v>47</v>
      </c>
      <c r="E12" s="3" t="s">
        <v>48</v>
      </c>
    </row>
    <row r="13" spans="1:5" x14ac:dyDescent="0.3">
      <c r="A13" t="s">
        <v>50</v>
      </c>
      <c r="B13" t="s">
        <v>45</v>
      </c>
      <c r="C13" t="s">
        <v>46</v>
      </c>
      <c r="D13" s="3" t="s">
        <v>47</v>
      </c>
      <c r="E13" s="3" t="s">
        <v>48</v>
      </c>
    </row>
    <row r="14" spans="1:5" x14ac:dyDescent="0.3">
      <c r="A14" t="s">
        <v>51</v>
      </c>
      <c r="B14" t="s">
        <v>52</v>
      </c>
      <c r="C14" t="s">
        <v>53</v>
      </c>
      <c r="D14" s="3" t="s">
        <v>54</v>
      </c>
      <c r="E14" s="3" t="s">
        <v>48</v>
      </c>
    </row>
    <row r="15" spans="1:5" x14ac:dyDescent="0.3">
      <c r="A15" t="s">
        <v>55</v>
      </c>
      <c r="B15" t="s">
        <v>56</v>
      </c>
      <c r="C15" t="s">
        <v>57</v>
      </c>
      <c r="D15" s="3" t="s">
        <v>58</v>
      </c>
      <c r="E15" s="3" t="s">
        <v>14</v>
      </c>
    </row>
    <row r="16" spans="1:5" x14ac:dyDescent="0.3">
      <c r="A16" t="s">
        <v>59</v>
      </c>
      <c r="B16" t="s">
        <v>60</v>
      </c>
      <c r="C16" t="s">
        <v>61</v>
      </c>
      <c r="D16" s="3" t="s">
        <v>62</v>
      </c>
      <c r="E16" s="3" t="s">
        <v>48</v>
      </c>
    </row>
    <row r="17" spans="1:5" x14ac:dyDescent="0.3">
      <c r="A17" t="s">
        <v>63</v>
      </c>
      <c r="B17" t="s">
        <v>60</v>
      </c>
      <c r="C17" t="s">
        <v>61</v>
      </c>
      <c r="D17" s="3" t="s">
        <v>62</v>
      </c>
      <c r="E17" s="3" t="s">
        <v>48</v>
      </c>
    </row>
    <row r="18" spans="1:5" x14ac:dyDescent="0.3">
      <c r="A18" t="s">
        <v>64</v>
      </c>
      <c r="B18" t="s">
        <v>65</v>
      </c>
      <c r="C18" t="s">
        <v>66</v>
      </c>
      <c r="D18" s="3" t="s">
        <v>23</v>
      </c>
      <c r="E18" s="3" t="s">
        <v>28</v>
      </c>
    </row>
    <row r="19" spans="1:5" x14ac:dyDescent="0.3">
      <c r="A19" t="s">
        <v>67</v>
      </c>
      <c r="B19" t="s">
        <v>68</v>
      </c>
      <c r="C19" t="s">
        <v>69</v>
      </c>
      <c r="D19" s="3" t="s">
        <v>32</v>
      </c>
      <c r="E19" s="3" t="s">
        <v>33</v>
      </c>
    </row>
    <row r="20" spans="1:5" x14ac:dyDescent="0.3">
      <c r="A20" t="s">
        <v>70</v>
      </c>
      <c r="B20" t="s">
        <v>68</v>
      </c>
      <c r="C20" t="s">
        <v>69</v>
      </c>
      <c r="D20" s="3" t="s">
        <v>32</v>
      </c>
      <c r="E20" s="3" t="s">
        <v>33</v>
      </c>
    </row>
    <row r="21" spans="1:5" x14ac:dyDescent="0.3">
      <c r="A21" t="s">
        <v>71</v>
      </c>
      <c r="B21" t="s">
        <v>68</v>
      </c>
      <c r="C21" t="s">
        <v>69</v>
      </c>
      <c r="D21" s="3" t="s">
        <v>32</v>
      </c>
      <c r="E21" s="3" t="s">
        <v>33</v>
      </c>
    </row>
    <row r="22" spans="1:5" x14ac:dyDescent="0.3">
      <c r="A22" t="s">
        <v>72</v>
      </c>
      <c r="B22" t="s">
        <v>73</v>
      </c>
      <c r="C22" t="s">
        <v>74</v>
      </c>
      <c r="D22" s="3" t="s">
        <v>75</v>
      </c>
      <c r="E22" s="3" t="s">
        <v>48</v>
      </c>
    </row>
    <row r="23" spans="1:5" x14ac:dyDescent="0.3">
      <c r="A23" t="s">
        <v>76</v>
      </c>
      <c r="B23" t="s">
        <v>77</v>
      </c>
      <c r="C23" t="s">
        <v>78</v>
      </c>
      <c r="D23" s="3" t="s">
        <v>79</v>
      </c>
      <c r="E23" s="3" t="s">
        <v>33</v>
      </c>
    </row>
    <row r="24" spans="1:5" x14ac:dyDescent="0.3">
      <c r="A24" t="s">
        <v>80</v>
      </c>
      <c r="B24" t="s">
        <v>81</v>
      </c>
      <c r="C24" t="s">
        <v>82</v>
      </c>
      <c r="D24" s="3" t="s">
        <v>83</v>
      </c>
      <c r="E24" s="3" t="s">
        <v>48</v>
      </c>
    </row>
    <row r="25" spans="1:5" x14ac:dyDescent="0.3">
      <c r="A25" t="s">
        <v>84</v>
      </c>
      <c r="B25" t="s">
        <v>85</v>
      </c>
      <c r="C25" t="s">
        <v>86</v>
      </c>
      <c r="D25" s="3" t="s">
        <v>87</v>
      </c>
      <c r="E25" s="3" t="s">
        <v>48</v>
      </c>
    </row>
    <row r="26" spans="1:5" x14ac:dyDescent="0.3">
      <c r="A26" t="s">
        <v>88</v>
      </c>
      <c r="B26" t="s">
        <v>89</v>
      </c>
      <c r="C26" t="s">
        <v>90</v>
      </c>
      <c r="D26" s="3" t="s">
        <v>91</v>
      </c>
      <c r="E26" s="3" t="s">
        <v>48</v>
      </c>
    </row>
    <row r="27" spans="1:5" x14ac:dyDescent="0.3">
      <c r="A27" t="s">
        <v>92</v>
      </c>
      <c r="B27" t="s">
        <v>93</v>
      </c>
      <c r="C27" t="s">
        <v>94</v>
      </c>
      <c r="D27" s="3" t="s">
        <v>95</v>
      </c>
      <c r="E27" s="3" t="s">
        <v>14</v>
      </c>
    </row>
    <row r="28" spans="1:5" x14ac:dyDescent="0.3">
      <c r="A28" t="s">
        <v>96</v>
      </c>
      <c r="B28" t="s">
        <v>97</v>
      </c>
      <c r="C28" t="s">
        <v>98</v>
      </c>
      <c r="D28" s="3" t="s">
        <v>40</v>
      </c>
      <c r="E28" s="3" t="s">
        <v>19</v>
      </c>
    </row>
    <row r="29" spans="1:5" x14ac:dyDescent="0.3">
      <c r="A29" t="s">
        <v>99</v>
      </c>
      <c r="B29" t="s">
        <v>100</v>
      </c>
      <c r="C29" t="s">
        <v>101</v>
      </c>
      <c r="D29" s="3" t="s">
        <v>23</v>
      </c>
      <c r="E29" s="3" t="s">
        <v>28</v>
      </c>
    </row>
    <row r="30" spans="1:5" x14ac:dyDescent="0.3">
      <c r="A30" t="s">
        <v>102</v>
      </c>
      <c r="B30" t="s">
        <v>103</v>
      </c>
      <c r="C30" t="s">
        <v>104</v>
      </c>
      <c r="D30" s="3" t="s">
        <v>105</v>
      </c>
      <c r="E30" s="3" t="s">
        <v>14</v>
      </c>
    </row>
    <row r="31" spans="1:5" x14ac:dyDescent="0.3">
      <c r="A31" t="s">
        <v>106</v>
      </c>
      <c r="B31" t="s">
        <v>107</v>
      </c>
      <c r="C31" t="s">
        <v>108</v>
      </c>
      <c r="D31" s="3" t="s">
        <v>75</v>
      </c>
      <c r="E31" s="3" t="s">
        <v>48</v>
      </c>
    </row>
    <row r="32" spans="1:5" x14ac:dyDescent="0.3">
      <c r="A32" t="s">
        <v>109</v>
      </c>
      <c r="B32" t="s">
        <v>110</v>
      </c>
      <c r="C32" t="s">
        <v>111</v>
      </c>
      <c r="D32" s="3" t="s">
        <v>112</v>
      </c>
      <c r="E32" s="3" t="s">
        <v>19</v>
      </c>
    </row>
    <row r="33" spans="1:5" x14ac:dyDescent="0.3">
      <c r="A33" t="s">
        <v>113</v>
      </c>
      <c r="B33" t="s">
        <v>114</v>
      </c>
      <c r="C33" t="s">
        <v>115</v>
      </c>
      <c r="D33" s="3" t="s">
        <v>91</v>
      </c>
      <c r="E33" s="3" t="s">
        <v>48</v>
      </c>
    </row>
    <row r="34" spans="1:5" x14ac:dyDescent="0.3">
      <c r="A34" t="s">
        <v>116</v>
      </c>
      <c r="B34" t="s">
        <v>117</v>
      </c>
      <c r="C34" t="s">
        <v>118</v>
      </c>
      <c r="D34" s="3" t="s">
        <v>23</v>
      </c>
      <c r="E34" s="3" t="s">
        <v>28</v>
      </c>
    </row>
    <row r="35" spans="1:5" x14ac:dyDescent="0.3">
      <c r="A35" t="s">
        <v>119</v>
      </c>
      <c r="B35" t="s">
        <v>120</v>
      </c>
      <c r="C35" t="s">
        <v>121</v>
      </c>
      <c r="D35" s="3" t="s">
        <v>122</v>
      </c>
      <c r="E35" s="3" t="s">
        <v>122</v>
      </c>
    </row>
    <row r="36" spans="1:5" x14ac:dyDescent="0.3">
      <c r="A36" t="s">
        <v>123</v>
      </c>
      <c r="B36" t="s">
        <v>124</v>
      </c>
      <c r="C36" t="s">
        <v>125</v>
      </c>
      <c r="D36" s="3" t="s">
        <v>32</v>
      </c>
      <c r="E36" s="3" t="s">
        <v>33</v>
      </c>
    </row>
    <row r="37" spans="1:5" x14ac:dyDescent="0.3">
      <c r="A37" t="s">
        <v>126</v>
      </c>
      <c r="B37" t="s">
        <v>127</v>
      </c>
      <c r="C37" t="s">
        <v>128</v>
      </c>
      <c r="D37" s="3" t="s">
        <v>129</v>
      </c>
      <c r="E37" s="3" t="s">
        <v>48</v>
      </c>
    </row>
    <row r="38" spans="1:5" x14ac:dyDescent="0.3">
      <c r="A38" t="s">
        <v>130</v>
      </c>
      <c r="B38" t="s">
        <v>131</v>
      </c>
      <c r="C38" t="s">
        <v>132</v>
      </c>
      <c r="D38" s="3" t="s">
        <v>32</v>
      </c>
      <c r="E38" s="3" t="s">
        <v>33</v>
      </c>
    </row>
    <row r="39" spans="1:5" x14ac:dyDescent="0.3">
      <c r="A39" t="s">
        <v>133</v>
      </c>
      <c r="B39" t="s">
        <v>131</v>
      </c>
      <c r="C39" t="s">
        <v>132</v>
      </c>
      <c r="D39" s="3" t="s">
        <v>32</v>
      </c>
      <c r="E39" s="3" t="s">
        <v>33</v>
      </c>
    </row>
    <row r="40" spans="1:5" x14ac:dyDescent="0.3">
      <c r="A40" t="s">
        <v>134</v>
      </c>
      <c r="B40" t="s">
        <v>131</v>
      </c>
      <c r="C40" t="s">
        <v>132</v>
      </c>
      <c r="D40" s="3" t="s">
        <v>32</v>
      </c>
      <c r="E40" s="3" t="s">
        <v>33</v>
      </c>
    </row>
    <row r="41" spans="1:5" x14ac:dyDescent="0.3">
      <c r="A41" t="s">
        <v>135</v>
      </c>
      <c r="B41" t="s">
        <v>136</v>
      </c>
      <c r="C41" t="s">
        <v>137</v>
      </c>
      <c r="D41" s="3" t="s">
        <v>138</v>
      </c>
      <c r="E41" s="3" t="s">
        <v>28</v>
      </c>
    </row>
    <row r="42" spans="1:5" x14ac:dyDescent="0.3">
      <c r="A42" t="s">
        <v>139</v>
      </c>
      <c r="B42" t="s">
        <v>136</v>
      </c>
      <c r="C42" t="s">
        <v>137</v>
      </c>
      <c r="D42" s="3" t="s">
        <v>138</v>
      </c>
      <c r="E42" s="3" t="s">
        <v>28</v>
      </c>
    </row>
    <row r="43" spans="1:5" x14ac:dyDescent="0.3">
      <c r="A43" t="s">
        <v>140</v>
      </c>
      <c r="B43" t="s">
        <v>141</v>
      </c>
      <c r="C43" t="s">
        <v>142</v>
      </c>
      <c r="D43" s="3" t="s">
        <v>143</v>
      </c>
      <c r="E43" s="3" t="s">
        <v>144</v>
      </c>
    </row>
    <row r="44" spans="1:5" x14ac:dyDescent="0.3">
      <c r="A44" t="s">
        <v>145</v>
      </c>
      <c r="B44" t="s">
        <v>146</v>
      </c>
      <c r="C44" t="s">
        <v>147</v>
      </c>
      <c r="D44" s="3" t="s">
        <v>148</v>
      </c>
      <c r="E44" s="3" t="s">
        <v>28</v>
      </c>
    </row>
    <row r="45" spans="1:5" x14ac:dyDescent="0.3">
      <c r="A45" t="s">
        <v>149</v>
      </c>
      <c r="B45" t="s">
        <v>146</v>
      </c>
      <c r="C45" t="s">
        <v>147</v>
      </c>
      <c r="D45" s="3" t="s">
        <v>148</v>
      </c>
      <c r="E45" s="3" t="s">
        <v>28</v>
      </c>
    </row>
    <row r="46" spans="1:5" x14ac:dyDescent="0.3">
      <c r="A46" t="s">
        <v>150</v>
      </c>
      <c r="B46" t="s">
        <v>151</v>
      </c>
      <c r="C46" t="s">
        <v>108</v>
      </c>
      <c r="D46" s="3" t="s">
        <v>75</v>
      </c>
      <c r="E46" s="3" t="s">
        <v>48</v>
      </c>
    </row>
    <row r="47" spans="1:5" x14ac:dyDescent="0.3">
      <c r="A47" t="s">
        <v>152</v>
      </c>
      <c r="B47" t="s">
        <v>153</v>
      </c>
      <c r="C47" t="s">
        <v>154</v>
      </c>
      <c r="D47" s="3" t="s">
        <v>91</v>
      </c>
      <c r="E47" s="3" t="s">
        <v>48</v>
      </c>
    </row>
    <row r="48" spans="1:5" x14ac:dyDescent="0.3">
      <c r="A48" t="s">
        <v>155</v>
      </c>
      <c r="B48" t="s">
        <v>156</v>
      </c>
      <c r="C48" t="s">
        <v>157</v>
      </c>
      <c r="D48" s="3" t="s">
        <v>158</v>
      </c>
      <c r="E48" s="3" t="s">
        <v>9</v>
      </c>
    </row>
    <row r="49" spans="1:5" x14ac:dyDescent="0.3">
      <c r="A49" t="s">
        <v>159</v>
      </c>
      <c r="B49" t="s">
        <v>156</v>
      </c>
      <c r="C49" t="s">
        <v>157</v>
      </c>
      <c r="D49" s="3" t="s">
        <v>158</v>
      </c>
      <c r="E49" s="3" t="s">
        <v>9</v>
      </c>
    </row>
    <row r="50" spans="1:5" x14ac:dyDescent="0.3">
      <c r="A50" t="s">
        <v>160</v>
      </c>
      <c r="B50" t="s">
        <v>161</v>
      </c>
      <c r="C50" t="s">
        <v>162</v>
      </c>
      <c r="D50" s="3" t="s">
        <v>163</v>
      </c>
      <c r="E50" s="3" t="s">
        <v>19</v>
      </c>
    </row>
    <row r="51" spans="1:5" x14ac:dyDescent="0.3">
      <c r="A51" t="s">
        <v>164</v>
      </c>
      <c r="B51" t="s">
        <v>165</v>
      </c>
      <c r="C51" t="s">
        <v>166</v>
      </c>
      <c r="D51" s="3" t="s">
        <v>13</v>
      </c>
      <c r="E51" s="3" t="s">
        <v>14</v>
      </c>
    </row>
    <row r="52" spans="1:5" x14ac:dyDescent="0.3">
      <c r="A52" t="s">
        <v>167</v>
      </c>
      <c r="B52" t="s">
        <v>168</v>
      </c>
      <c r="C52" t="s">
        <v>2694</v>
      </c>
      <c r="D52" s="3" t="s">
        <v>13</v>
      </c>
      <c r="E52" s="3" t="s">
        <v>14</v>
      </c>
    </row>
    <row r="53" spans="1:5" x14ac:dyDescent="0.3">
      <c r="A53" t="s">
        <v>169</v>
      </c>
      <c r="B53" t="s">
        <v>170</v>
      </c>
      <c r="C53" t="s">
        <v>171</v>
      </c>
      <c r="D53" s="3" t="s">
        <v>13</v>
      </c>
      <c r="E53" s="3" t="s">
        <v>14</v>
      </c>
    </row>
    <row r="54" spans="1:5" x14ac:dyDescent="0.3">
      <c r="A54" t="s">
        <v>172</v>
      </c>
      <c r="B54" t="s">
        <v>170</v>
      </c>
      <c r="C54" t="s">
        <v>171</v>
      </c>
      <c r="D54" s="3" t="s">
        <v>13</v>
      </c>
      <c r="E54" s="3" t="s">
        <v>14</v>
      </c>
    </row>
    <row r="55" spans="1:5" x14ac:dyDescent="0.3">
      <c r="A55" t="s">
        <v>173</v>
      </c>
      <c r="B55" t="s">
        <v>174</v>
      </c>
      <c r="C55" t="s">
        <v>175</v>
      </c>
      <c r="D55" s="3" t="s">
        <v>176</v>
      </c>
      <c r="E55" s="3" t="s">
        <v>14</v>
      </c>
    </row>
    <row r="56" spans="1:5" x14ac:dyDescent="0.3">
      <c r="A56" t="s">
        <v>177</v>
      </c>
      <c r="B56" t="s">
        <v>178</v>
      </c>
      <c r="C56" t="s">
        <v>179</v>
      </c>
      <c r="D56" s="3" t="s">
        <v>27</v>
      </c>
      <c r="E56" s="3" t="s">
        <v>28</v>
      </c>
    </row>
    <row r="57" spans="1:5" x14ac:dyDescent="0.3">
      <c r="A57" t="s">
        <v>180</v>
      </c>
      <c r="B57" t="s">
        <v>178</v>
      </c>
      <c r="C57" t="s">
        <v>179</v>
      </c>
      <c r="D57" s="3" t="s">
        <v>27</v>
      </c>
      <c r="E57" s="3" t="s">
        <v>28</v>
      </c>
    </row>
    <row r="58" spans="1:5" x14ac:dyDescent="0.3">
      <c r="A58" t="s">
        <v>181</v>
      </c>
      <c r="B58" t="s">
        <v>182</v>
      </c>
      <c r="C58" t="s">
        <v>183</v>
      </c>
      <c r="D58" s="3" t="s">
        <v>163</v>
      </c>
      <c r="E58" s="3" t="s">
        <v>19</v>
      </c>
    </row>
    <row r="59" spans="1:5" x14ac:dyDescent="0.3">
      <c r="A59" t="s">
        <v>184</v>
      </c>
      <c r="B59" t="s">
        <v>185</v>
      </c>
      <c r="C59" t="s">
        <v>186</v>
      </c>
      <c r="D59" s="3" t="s">
        <v>13</v>
      </c>
      <c r="E59" s="3" t="s">
        <v>14</v>
      </c>
    </row>
    <row r="60" spans="1:5" x14ac:dyDescent="0.3">
      <c r="A60" t="s">
        <v>187</v>
      </c>
      <c r="B60" t="s">
        <v>185</v>
      </c>
      <c r="C60" t="s">
        <v>186</v>
      </c>
      <c r="D60" s="3" t="s">
        <v>13</v>
      </c>
      <c r="E60" s="3" t="s">
        <v>14</v>
      </c>
    </row>
    <row r="61" spans="1:5" x14ac:dyDescent="0.3">
      <c r="A61" t="s">
        <v>188</v>
      </c>
      <c r="B61" t="s">
        <v>189</v>
      </c>
      <c r="C61" t="s">
        <v>190</v>
      </c>
      <c r="D61" s="3" t="s">
        <v>13</v>
      </c>
      <c r="E61" s="3" t="s">
        <v>14</v>
      </c>
    </row>
    <row r="62" spans="1:5" x14ac:dyDescent="0.3">
      <c r="A62" t="s">
        <v>191</v>
      </c>
      <c r="B62" t="s">
        <v>189</v>
      </c>
      <c r="C62" t="s">
        <v>190</v>
      </c>
      <c r="D62" s="3" t="s">
        <v>13</v>
      </c>
      <c r="E62" s="3" t="s">
        <v>14</v>
      </c>
    </row>
    <row r="63" spans="1:5" x14ac:dyDescent="0.3">
      <c r="A63" t="s">
        <v>192</v>
      </c>
      <c r="B63" t="s">
        <v>193</v>
      </c>
      <c r="C63" t="s">
        <v>194</v>
      </c>
      <c r="D63" s="3" t="s">
        <v>54</v>
      </c>
      <c r="E63" s="3" t="s">
        <v>48</v>
      </c>
    </row>
    <row r="64" spans="1:5" x14ac:dyDescent="0.3">
      <c r="A64" t="s">
        <v>195</v>
      </c>
      <c r="B64" t="s">
        <v>196</v>
      </c>
      <c r="C64" t="s">
        <v>154</v>
      </c>
      <c r="D64" s="3" t="s">
        <v>91</v>
      </c>
      <c r="E64" s="3" t="s">
        <v>48</v>
      </c>
    </row>
    <row r="65" spans="1:5" x14ac:dyDescent="0.3">
      <c r="A65" t="s">
        <v>197</v>
      </c>
      <c r="B65" t="s">
        <v>198</v>
      </c>
      <c r="C65" t="s">
        <v>199</v>
      </c>
      <c r="D65" s="3" t="s">
        <v>200</v>
      </c>
      <c r="E65" s="3" t="s">
        <v>9</v>
      </c>
    </row>
    <row r="66" spans="1:5" x14ac:dyDescent="0.3">
      <c r="A66" t="s">
        <v>201</v>
      </c>
      <c r="B66" t="s">
        <v>202</v>
      </c>
      <c r="C66" t="s">
        <v>203</v>
      </c>
      <c r="D66" s="3" t="s">
        <v>200</v>
      </c>
      <c r="E66" s="3" t="s">
        <v>9</v>
      </c>
    </row>
    <row r="67" spans="1:5" x14ac:dyDescent="0.3">
      <c r="A67" t="s">
        <v>204</v>
      </c>
      <c r="B67" t="s">
        <v>205</v>
      </c>
      <c r="C67" t="s">
        <v>206</v>
      </c>
      <c r="D67" s="3" t="s">
        <v>13</v>
      </c>
      <c r="E67" s="3" t="s">
        <v>14</v>
      </c>
    </row>
    <row r="68" spans="1:5" x14ac:dyDescent="0.3">
      <c r="A68" t="s">
        <v>207</v>
      </c>
      <c r="B68" t="s">
        <v>205</v>
      </c>
      <c r="C68" t="s">
        <v>206</v>
      </c>
      <c r="D68" s="3" t="s">
        <v>13</v>
      </c>
      <c r="E68" s="3" t="s">
        <v>14</v>
      </c>
    </row>
    <row r="69" spans="1:5" x14ac:dyDescent="0.3">
      <c r="A69" t="s">
        <v>208</v>
      </c>
      <c r="B69" t="s">
        <v>209</v>
      </c>
      <c r="C69" t="s">
        <v>210</v>
      </c>
      <c r="D69" s="3" t="s">
        <v>13</v>
      </c>
      <c r="E69" s="3" t="s">
        <v>14</v>
      </c>
    </row>
    <row r="70" spans="1:5" x14ac:dyDescent="0.3">
      <c r="A70" t="s">
        <v>211</v>
      </c>
      <c r="B70" t="s">
        <v>212</v>
      </c>
      <c r="C70" t="s">
        <v>213</v>
      </c>
      <c r="D70" s="3" t="s">
        <v>13</v>
      </c>
      <c r="E70" s="3" t="s">
        <v>14</v>
      </c>
    </row>
    <row r="71" spans="1:5" x14ac:dyDescent="0.3">
      <c r="A71" t="s">
        <v>214</v>
      </c>
      <c r="B71" t="s">
        <v>212</v>
      </c>
      <c r="C71" t="s">
        <v>213</v>
      </c>
      <c r="D71" s="3" t="s">
        <v>13</v>
      </c>
      <c r="E71" s="3" t="s">
        <v>14</v>
      </c>
    </row>
    <row r="72" spans="1:5" x14ac:dyDescent="0.3">
      <c r="A72" t="s">
        <v>215</v>
      </c>
      <c r="B72" t="s">
        <v>216</v>
      </c>
      <c r="C72" t="s">
        <v>217</v>
      </c>
      <c r="D72" s="3" t="s">
        <v>218</v>
      </c>
      <c r="E72" s="3" t="s">
        <v>48</v>
      </c>
    </row>
    <row r="73" spans="1:5" x14ac:dyDescent="0.3">
      <c r="A73" t="s">
        <v>219</v>
      </c>
      <c r="B73" t="s">
        <v>220</v>
      </c>
      <c r="C73" t="s">
        <v>221</v>
      </c>
      <c r="D73" s="3" t="s">
        <v>222</v>
      </c>
      <c r="E73" s="3" t="s">
        <v>223</v>
      </c>
    </row>
    <row r="74" spans="1:5" x14ac:dyDescent="0.3">
      <c r="A74" t="s">
        <v>224</v>
      </c>
      <c r="B74" t="s">
        <v>225</v>
      </c>
      <c r="C74" t="s">
        <v>226</v>
      </c>
      <c r="D74" s="3" t="s">
        <v>13</v>
      </c>
      <c r="E74" s="3" t="s">
        <v>14</v>
      </c>
    </row>
    <row r="75" spans="1:5" x14ac:dyDescent="0.3">
      <c r="A75" t="s">
        <v>227</v>
      </c>
      <c r="B75" t="s">
        <v>228</v>
      </c>
      <c r="C75" t="s">
        <v>229</v>
      </c>
      <c r="D75" s="3" t="s">
        <v>230</v>
      </c>
      <c r="E75" s="3" t="s">
        <v>19</v>
      </c>
    </row>
    <row r="76" spans="1:5" x14ac:dyDescent="0.3">
      <c r="A76" t="s">
        <v>231</v>
      </c>
      <c r="B76" t="s">
        <v>228</v>
      </c>
      <c r="C76" t="s">
        <v>229</v>
      </c>
      <c r="D76" s="3" t="s">
        <v>230</v>
      </c>
      <c r="E76" s="3" t="s">
        <v>19</v>
      </c>
    </row>
    <row r="77" spans="1:5" x14ac:dyDescent="0.3">
      <c r="A77" t="s">
        <v>232</v>
      </c>
      <c r="B77" t="s">
        <v>233</v>
      </c>
      <c r="C77" t="s">
        <v>234</v>
      </c>
      <c r="D77" s="3" t="s">
        <v>13</v>
      </c>
      <c r="E77" s="3" t="s">
        <v>14</v>
      </c>
    </row>
    <row r="78" spans="1:5" x14ac:dyDescent="0.3">
      <c r="A78" t="s">
        <v>235</v>
      </c>
      <c r="B78" t="s">
        <v>233</v>
      </c>
      <c r="C78" t="s">
        <v>234</v>
      </c>
      <c r="D78" s="3" t="s">
        <v>13</v>
      </c>
      <c r="E78" s="3" t="s">
        <v>14</v>
      </c>
    </row>
    <row r="79" spans="1:5" x14ac:dyDescent="0.3">
      <c r="A79" t="s">
        <v>236</v>
      </c>
      <c r="B79" t="s">
        <v>233</v>
      </c>
      <c r="C79" t="s">
        <v>234</v>
      </c>
      <c r="D79" s="3" t="s">
        <v>13</v>
      </c>
      <c r="E79" s="3" t="s">
        <v>14</v>
      </c>
    </row>
    <row r="80" spans="1:5" x14ac:dyDescent="0.3">
      <c r="A80" t="s">
        <v>237</v>
      </c>
      <c r="B80" t="s">
        <v>238</v>
      </c>
      <c r="C80" t="s">
        <v>239</v>
      </c>
      <c r="D80" s="3" t="s">
        <v>13</v>
      </c>
      <c r="E80" s="3" t="s">
        <v>14</v>
      </c>
    </row>
    <row r="81" spans="1:5" x14ac:dyDescent="0.3">
      <c r="A81" t="s">
        <v>240</v>
      </c>
      <c r="B81" t="s">
        <v>241</v>
      </c>
      <c r="C81" t="s">
        <v>242</v>
      </c>
      <c r="D81" s="3" t="s">
        <v>13</v>
      </c>
      <c r="E81" s="3" t="s">
        <v>14</v>
      </c>
    </row>
    <row r="82" spans="1:5" x14ac:dyDescent="0.3">
      <c r="A82" t="s">
        <v>243</v>
      </c>
      <c r="B82" t="s">
        <v>244</v>
      </c>
      <c r="C82" t="s">
        <v>245</v>
      </c>
      <c r="D82" s="3" t="s">
        <v>246</v>
      </c>
      <c r="E82" s="3" t="s">
        <v>247</v>
      </c>
    </row>
    <row r="83" spans="1:5" x14ac:dyDescent="0.3">
      <c r="A83" t="s">
        <v>248</v>
      </c>
      <c r="B83" t="s">
        <v>244</v>
      </c>
      <c r="C83" t="s">
        <v>245</v>
      </c>
      <c r="D83" s="3" t="s">
        <v>246</v>
      </c>
      <c r="E83" s="3" t="s">
        <v>247</v>
      </c>
    </row>
    <row r="84" spans="1:5" x14ac:dyDescent="0.3">
      <c r="A84" t="s">
        <v>249</v>
      </c>
      <c r="B84" t="s">
        <v>250</v>
      </c>
      <c r="C84" t="s">
        <v>251</v>
      </c>
      <c r="D84" s="3" t="s">
        <v>143</v>
      </c>
      <c r="E84" s="3" t="s">
        <v>144</v>
      </c>
    </row>
    <row r="85" spans="1:5" x14ac:dyDescent="0.3">
      <c r="A85" t="s">
        <v>252</v>
      </c>
      <c r="B85" t="s">
        <v>253</v>
      </c>
      <c r="C85" t="s">
        <v>254</v>
      </c>
      <c r="D85" s="3" t="s">
        <v>13</v>
      </c>
      <c r="E85" s="3" t="s">
        <v>14</v>
      </c>
    </row>
    <row r="86" spans="1:5" x14ac:dyDescent="0.3">
      <c r="A86" t="s">
        <v>255</v>
      </c>
      <c r="B86" t="s">
        <v>256</v>
      </c>
      <c r="C86" t="s">
        <v>257</v>
      </c>
      <c r="D86" s="3" t="s">
        <v>163</v>
      </c>
      <c r="E86" s="3" t="s">
        <v>19</v>
      </c>
    </row>
    <row r="87" spans="1:5" x14ac:dyDescent="0.3">
      <c r="A87" t="s">
        <v>258</v>
      </c>
      <c r="B87" t="s">
        <v>259</v>
      </c>
      <c r="C87" t="s">
        <v>260</v>
      </c>
      <c r="D87" s="3" t="s">
        <v>176</v>
      </c>
      <c r="E87" s="3" t="s">
        <v>14</v>
      </c>
    </row>
    <row r="88" spans="1:5" x14ac:dyDescent="0.3">
      <c r="A88" t="s">
        <v>261</v>
      </c>
      <c r="B88" t="s">
        <v>259</v>
      </c>
      <c r="C88" t="s">
        <v>260</v>
      </c>
      <c r="D88" s="3" t="s">
        <v>176</v>
      </c>
      <c r="E88" s="3" t="s">
        <v>14</v>
      </c>
    </row>
    <row r="89" spans="1:5" x14ac:dyDescent="0.3">
      <c r="A89" t="s">
        <v>262</v>
      </c>
      <c r="B89" t="s">
        <v>259</v>
      </c>
      <c r="C89" t="s">
        <v>260</v>
      </c>
      <c r="D89" s="3" t="s">
        <v>176</v>
      </c>
      <c r="E89" s="3" t="s">
        <v>14</v>
      </c>
    </row>
    <row r="90" spans="1:5" x14ac:dyDescent="0.3">
      <c r="A90" t="s">
        <v>263</v>
      </c>
      <c r="B90" t="s">
        <v>264</v>
      </c>
      <c r="C90" t="s">
        <v>265</v>
      </c>
      <c r="D90" s="3" t="s">
        <v>266</v>
      </c>
      <c r="E90" s="3" t="s">
        <v>267</v>
      </c>
    </row>
    <row r="91" spans="1:5" x14ac:dyDescent="0.3">
      <c r="A91" t="s">
        <v>268</v>
      </c>
      <c r="B91" t="s">
        <v>269</v>
      </c>
      <c r="C91" t="s">
        <v>270</v>
      </c>
      <c r="D91" s="3" t="s">
        <v>13</v>
      </c>
      <c r="E91" s="3" t="s">
        <v>14</v>
      </c>
    </row>
    <row r="92" spans="1:5" x14ac:dyDescent="0.3">
      <c r="A92" t="s">
        <v>271</v>
      </c>
      <c r="B92" t="s">
        <v>269</v>
      </c>
      <c r="C92" t="s">
        <v>270</v>
      </c>
      <c r="D92" s="3" t="s">
        <v>13</v>
      </c>
      <c r="E92" s="3" t="s">
        <v>14</v>
      </c>
    </row>
    <row r="93" spans="1:5" x14ac:dyDescent="0.3">
      <c r="A93" t="s">
        <v>272</v>
      </c>
      <c r="B93" t="s">
        <v>273</v>
      </c>
      <c r="C93" t="s">
        <v>274</v>
      </c>
      <c r="D93" s="3" t="s">
        <v>275</v>
      </c>
      <c r="E93" s="3" t="s">
        <v>247</v>
      </c>
    </row>
    <row r="94" spans="1:5" x14ac:dyDescent="0.3">
      <c r="A94" t="s">
        <v>276</v>
      </c>
      <c r="B94" t="s">
        <v>273</v>
      </c>
      <c r="C94" t="s">
        <v>274</v>
      </c>
      <c r="D94" s="3" t="s">
        <v>275</v>
      </c>
      <c r="E94" s="3" t="s">
        <v>247</v>
      </c>
    </row>
    <row r="95" spans="1:5" x14ac:dyDescent="0.3">
      <c r="A95" t="s">
        <v>277</v>
      </c>
      <c r="B95" t="s">
        <v>273</v>
      </c>
      <c r="C95" t="s">
        <v>274</v>
      </c>
      <c r="D95" s="3" t="s">
        <v>275</v>
      </c>
      <c r="E95" s="3" t="s">
        <v>247</v>
      </c>
    </row>
    <row r="96" spans="1:5" x14ac:dyDescent="0.3">
      <c r="A96" t="s">
        <v>278</v>
      </c>
      <c r="B96" t="s">
        <v>279</v>
      </c>
      <c r="C96" t="s">
        <v>280</v>
      </c>
      <c r="D96" s="3" t="s">
        <v>13</v>
      </c>
      <c r="E96" s="3" t="s">
        <v>14</v>
      </c>
    </row>
    <row r="97" spans="1:5" x14ac:dyDescent="0.3">
      <c r="A97" t="s">
        <v>281</v>
      </c>
      <c r="B97" t="s">
        <v>279</v>
      </c>
      <c r="C97" t="s">
        <v>280</v>
      </c>
      <c r="D97" s="3" t="s">
        <v>13</v>
      </c>
      <c r="E97" s="3" t="s">
        <v>14</v>
      </c>
    </row>
    <row r="98" spans="1:5" x14ac:dyDescent="0.3">
      <c r="A98" t="s">
        <v>282</v>
      </c>
      <c r="B98" t="s">
        <v>279</v>
      </c>
      <c r="C98" t="s">
        <v>280</v>
      </c>
      <c r="D98" s="3" t="s">
        <v>13</v>
      </c>
      <c r="E98" s="3" t="s">
        <v>14</v>
      </c>
    </row>
    <row r="99" spans="1:5" x14ac:dyDescent="0.3">
      <c r="A99" t="s">
        <v>283</v>
      </c>
      <c r="B99" t="s">
        <v>284</v>
      </c>
      <c r="C99" t="s">
        <v>285</v>
      </c>
      <c r="D99" s="3" t="s">
        <v>266</v>
      </c>
      <c r="E99" s="3" t="s">
        <v>267</v>
      </c>
    </row>
    <row r="100" spans="1:5" x14ac:dyDescent="0.3">
      <c r="A100" t="s">
        <v>286</v>
      </c>
      <c r="B100" t="s">
        <v>287</v>
      </c>
      <c r="C100" t="s">
        <v>288</v>
      </c>
      <c r="D100" s="3" t="s">
        <v>13</v>
      </c>
      <c r="E100" s="3" t="s">
        <v>14</v>
      </c>
    </row>
    <row r="101" spans="1:5" x14ac:dyDescent="0.3">
      <c r="A101" t="s">
        <v>289</v>
      </c>
      <c r="B101" t="s">
        <v>287</v>
      </c>
      <c r="C101" t="s">
        <v>288</v>
      </c>
      <c r="D101" s="3" t="s">
        <v>13</v>
      </c>
      <c r="E101" s="3" t="s">
        <v>14</v>
      </c>
    </row>
    <row r="102" spans="1:5" x14ac:dyDescent="0.3">
      <c r="A102" t="s">
        <v>290</v>
      </c>
      <c r="B102" t="s">
        <v>291</v>
      </c>
      <c r="C102" t="s">
        <v>292</v>
      </c>
      <c r="D102" s="3" t="s">
        <v>129</v>
      </c>
      <c r="E102" s="3" t="s">
        <v>48</v>
      </c>
    </row>
    <row r="103" spans="1:5" x14ac:dyDescent="0.3">
      <c r="A103" t="s">
        <v>293</v>
      </c>
      <c r="B103" t="s">
        <v>294</v>
      </c>
      <c r="C103" t="s">
        <v>295</v>
      </c>
      <c r="D103" s="3" t="s">
        <v>62</v>
      </c>
      <c r="E103" s="3" t="s">
        <v>48</v>
      </c>
    </row>
    <row r="104" spans="1:5" x14ac:dyDescent="0.3">
      <c r="A104" t="s">
        <v>296</v>
      </c>
      <c r="B104" t="s">
        <v>297</v>
      </c>
      <c r="C104" t="s">
        <v>298</v>
      </c>
      <c r="D104" s="3" t="s">
        <v>299</v>
      </c>
      <c r="E104" s="3" t="s">
        <v>19</v>
      </c>
    </row>
    <row r="105" spans="1:5" x14ac:dyDescent="0.3">
      <c r="A105" t="s">
        <v>300</v>
      </c>
      <c r="B105" t="s">
        <v>301</v>
      </c>
      <c r="C105" t="s">
        <v>302</v>
      </c>
      <c r="D105" s="3" t="s">
        <v>222</v>
      </c>
      <c r="E105" s="3" t="s">
        <v>223</v>
      </c>
    </row>
    <row r="106" spans="1:5" x14ac:dyDescent="0.3">
      <c r="A106" t="s">
        <v>303</v>
      </c>
      <c r="B106" t="s">
        <v>304</v>
      </c>
      <c r="C106" t="s">
        <v>305</v>
      </c>
      <c r="D106" s="3" t="s">
        <v>79</v>
      </c>
      <c r="E106" s="3" t="s">
        <v>33</v>
      </c>
    </row>
    <row r="107" spans="1:5" x14ac:dyDescent="0.3">
      <c r="A107" t="s">
        <v>306</v>
      </c>
      <c r="B107" t="s">
        <v>304</v>
      </c>
      <c r="C107" t="s">
        <v>305</v>
      </c>
      <c r="D107" s="3" t="s">
        <v>79</v>
      </c>
      <c r="E107" s="3" t="s">
        <v>33</v>
      </c>
    </row>
    <row r="108" spans="1:5" x14ac:dyDescent="0.3">
      <c r="A108" t="s">
        <v>307</v>
      </c>
      <c r="B108" t="s">
        <v>308</v>
      </c>
      <c r="C108" t="s">
        <v>309</v>
      </c>
      <c r="D108" s="3" t="s">
        <v>246</v>
      </c>
      <c r="E108" s="3" t="s">
        <v>247</v>
      </c>
    </row>
    <row r="109" spans="1:5" x14ac:dyDescent="0.3">
      <c r="A109" t="s">
        <v>310</v>
      </c>
      <c r="B109" t="s">
        <v>311</v>
      </c>
      <c r="C109" t="s">
        <v>312</v>
      </c>
      <c r="D109" s="3" t="s">
        <v>32</v>
      </c>
      <c r="E109" s="3" t="s">
        <v>33</v>
      </c>
    </row>
    <row r="110" spans="1:5" x14ac:dyDescent="0.3">
      <c r="A110" t="s">
        <v>313</v>
      </c>
      <c r="B110" t="s">
        <v>314</v>
      </c>
      <c r="C110" t="s">
        <v>315</v>
      </c>
      <c r="D110" s="3" t="s">
        <v>316</v>
      </c>
      <c r="E110" s="3" t="s">
        <v>28</v>
      </c>
    </row>
    <row r="111" spans="1:5" x14ac:dyDescent="0.3">
      <c r="A111" t="s">
        <v>317</v>
      </c>
      <c r="B111" t="s">
        <v>318</v>
      </c>
      <c r="C111" t="s">
        <v>319</v>
      </c>
      <c r="D111" s="3" t="s">
        <v>129</v>
      </c>
      <c r="E111" s="3" t="s">
        <v>48</v>
      </c>
    </row>
    <row r="112" spans="1:5" x14ac:dyDescent="0.3">
      <c r="A112" t="s">
        <v>320</v>
      </c>
      <c r="B112" t="s">
        <v>321</v>
      </c>
      <c r="C112" t="s">
        <v>322</v>
      </c>
      <c r="D112" s="3" t="s">
        <v>75</v>
      </c>
      <c r="E112" s="3" t="s">
        <v>48</v>
      </c>
    </row>
    <row r="113" spans="1:5" x14ac:dyDescent="0.3">
      <c r="A113" t="s">
        <v>323</v>
      </c>
      <c r="B113" t="s">
        <v>324</v>
      </c>
      <c r="C113" t="s">
        <v>325</v>
      </c>
      <c r="D113" s="3" t="s">
        <v>32</v>
      </c>
      <c r="E113" s="3" t="s">
        <v>33</v>
      </c>
    </row>
    <row r="114" spans="1:5" x14ac:dyDescent="0.3">
      <c r="A114" t="s">
        <v>326</v>
      </c>
      <c r="B114" t="s">
        <v>324</v>
      </c>
      <c r="C114" t="s">
        <v>325</v>
      </c>
      <c r="D114" s="3" t="s">
        <v>32</v>
      </c>
      <c r="E114" s="3" t="s">
        <v>33</v>
      </c>
    </row>
    <row r="115" spans="1:5" x14ac:dyDescent="0.3">
      <c r="A115" t="s">
        <v>327</v>
      </c>
      <c r="B115" t="s">
        <v>324</v>
      </c>
      <c r="C115" t="s">
        <v>325</v>
      </c>
      <c r="D115" s="3" t="s">
        <v>32</v>
      </c>
      <c r="E115" s="3" t="s">
        <v>33</v>
      </c>
    </row>
    <row r="116" spans="1:5" x14ac:dyDescent="0.3">
      <c r="A116" t="s">
        <v>328</v>
      </c>
      <c r="B116" t="s">
        <v>329</v>
      </c>
      <c r="C116" t="s">
        <v>330</v>
      </c>
      <c r="D116" s="3" t="s">
        <v>331</v>
      </c>
      <c r="E116" s="3" t="s">
        <v>48</v>
      </c>
    </row>
    <row r="117" spans="1:5" x14ac:dyDescent="0.3">
      <c r="A117" t="s">
        <v>332</v>
      </c>
      <c r="B117" t="s">
        <v>329</v>
      </c>
      <c r="C117" t="s">
        <v>330</v>
      </c>
      <c r="D117" s="3" t="s">
        <v>331</v>
      </c>
      <c r="E117" s="3" t="s">
        <v>48</v>
      </c>
    </row>
    <row r="118" spans="1:5" x14ac:dyDescent="0.3">
      <c r="A118" t="s">
        <v>333</v>
      </c>
      <c r="B118" t="s">
        <v>334</v>
      </c>
      <c r="C118" t="s">
        <v>335</v>
      </c>
      <c r="D118" s="3" t="s">
        <v>32</v>
      </c>
      <c r="E118" s="3" t="s">
        <v>33</v>
      </c>
    </row>
    <row r="119" spans="1:5" x14ac:dyDescent="0.3">
      <c r="A119" t="s">
        <v>336</v>
      </c>
      <c r="B119" t="s">
        <v>334</v>
      </c>
      <c r="C119" t="s">
        <v>335</v>
      </c>
      <c r="D119" s="3" t="s">
        <v>32</v>
      </c>
      <c r="E119" s="3" t="s">
        <v>33</v>
      </c>
    </row>
    <row r="120" spans="1:5" x14ac:dyDescent="0.3">
      <c r="A120" t="s">
        <v>337</v>
      </c>
      <c r="B120" t="s">
        <v>338</v>
      </c>
      <c r="C120" t="s">
        <v>339</v>
      </c>
      <c r="D120" s="3" t="s">
        <v>32</v>
      </c>
      <c r="E120" s="3" t="s">
        <v>33</v>
      </c>
    </row>
    <row r="121" spans="1:5" x14ac:dyDescent="0.3">
      <c r="A121" t="s">
        <v>340</v>
      </c>
      <c r="B121" t="s">
        <v>338</v>
      </c>
      <c r="C121" t="s">
        <v>339</v>
      </c>
      <c r="D121" s="3" t="s">
        <v>32</v>
      </c>
      <c r="E121" s="3" t="s">
        <v>33</v>
      </c>
    </row>
    <row r="122" spans="1:5" x14ac:dyDescent="0.3">
      <c r="A122" t="s">
        <v>341</v>
      </c>
      <c r="B122" t="s">
        <v>342</v>
      </c>
      <c r="C122" t="s">
        <v>343</v>
      </c>
      <c r="D122" s="3" t="s">
        <v>344</v>
      </c>
      <c r="E122" s="3" t="s">
        <v>33</v>
      </c>
    </row>
    <row r="123" spans="1:5" x14ac:dyDescent="0.3">
      <c r="A123" t="s">
        <v>345</v>
      </c>
      <c r="B123" t="s">
        <v>346</v>
      </c>
      <c r="C123" t="s">
        <v>347</v>
      </c>
      <c r="D123" s="3" t="s">
        <v>344</v>
      </c>
      <c r="E123" s="3" t="s">
        <v>33</v>
      </c>
    </row>
    <row r="124" spans="1:5" x14ac:dyDescent="0.3">
      <c r="A124" t="s">
        <v>348</v>
      </c>
      <c r="B124" t="s">
        <v>346</v>
      </c>
      <c r="C124" t="s">
        <v>347</v>
      </c>
      <c r="D124" s="3" t="s">
        <v>344</v>
      </c>
      <c r="E124" s="3" t="s">
        <v>33</v>
      </c>
    </row>
    <row r="125" spans="1:5" x14ac:dyDescent="0.3">
      <c r="A125" t="s">
        <v>349</v>
      </c>
      <c r="B125" t="s">
        <v>350</v>
      </c>
      <c r="C125" t="s">
        <v>351</v>
      </c>
      <c r="D125" s="3" t="s">
        <v>75</v>
      </c>
      <c r="E125" s="3" t="s">
        <v>48</v>
      </c>
    </row>
    <row r="126" spans="1:5" x14ac:dyDescent="0.3">
      <c r="A126" t="s">
        <v>352</v>
      </c>
      <c r="B126" t="s">
        <v>350</v>
      </c>
      <c r="C126" t="s">
        <v>351</v>
      </c>
      <c r="D126" s="3" t="s">
        <v>75</v>
      </c>
      <c r="E126" s="3" t="s">
        <v>48</v>
      </c>
    </row>
    <row r="127" spans="1:5" x14ac:dyDescent="0.3">
      <c r="A127" t="s">
        <v>353</v>
      </c>
      <c r="B127" t="s">
        <v>354</v>
      </c>
      <c r="C127" t="s">
        <v>355</v>
      </c>
      <c r="D127" s="3" t="s">
        <v>356</v>
      </c>
      <c r="E127" s="3" t="s">
        <v>14</v>
      </c>
    </row>
    <row r="128" spans="1:5" x14ac:dyDescent="0.3">
      <c r="A128" t="s">
        <v>357</v>
      </c>
      <c r="B128" t="s">
        <v>358</v>
      </c>
      <c r="C128" t="s">
        <v>359</v>
      </c>
      <c r="D128" s="3" t="s">
        <v>356</v>
      </c>
      <c r="E128" s="3" t="s">
        <v>14</v>
      </c>
    </row>
    <row r="129" spans="1:5" x14ac:dyDescent="0.3">
      <c r="A129" t="s">
        <v>360</v>
      </c>
      <c r="B129" t="s">
        <v>361</v>
      </c>
      <c r="C129" t="s">
        <v>362</v>
      </c>
      <c r="D129" s="3" t="s">
        <v>32</v>
      </c>
      <c r="E129" s="3" t="s">
        <v>33</v>
      </c>
    </row>
    <row r="130" spans="1:5" x14ac:dyDescent="0.3">
      <c r="A130" t="s">
        <v>363</v>
      </c>
      <c r="B130" t="s">
        <v>361</v>
      </c>
      <c r="C130" t="s">
        <v>362</v>
      </c>
      <c r="D130" s="3" t="s">
        <v>32</v>
      </c>
      <c r="E130" s="3" t="s">
        <v>33</v>
      </c>
    </row>
    <row r="131" spans="1:5" x14ac:dyDescent="0.3">
      <c r="A131" t="s">
        <v>364</v>
      </c>
      <c r="B131" t="s">
        <v>365</v>
      </c>
      <c r="C131" t="s">
        <v>366</v>
      </c>
      <c r="D131" s="3" t="s">
        <v>32</v>
      </c>
      <c r="E131" s="3" t="s">
        <v>33</v>
      </c>
    </row>
    <row r="132" spans="1:5" x14ac:dyDescent="0.3">
      <c r="A132" t="s">
        <v>367</v>
      </c>
      <c r="B132" t="s">
        <v>365</v>
      </c>
      <c r="C132" t="s">
        <v>366</v>
      </c>
      <c r="D132" s="3" t="s">
        <v>32</v>
      </c>
      <c r="E132" s="3" t="s">
        <v>33</v>
      </c>
    </row>
    <row r="133" spans="1:5" x14ac:dyDescent="0.3">
      <c r="A133" t="s">
        <v>368</v>
      </c>
      <c r="B133" t="s">
        <v>369</v>
      </c>
      <c r="C133" t="s">
        <v>370</v>
      </c>
      <c r="D133" s="3" t="s">
        <v>246</v>
      </c>
      <c r="E133" s="3" t="s">
        <v>247</v>
      </c>
    </row>
    <row r="134" spans="1:5" x14ac:dyDescent="0.3">
      <c r="A134" t="s">
        <v>371</v>
      </c>
      <c r="B134" t="s">
        <v>372</v>
      </c>
      <c r="C134" t="s">
        <v>373</v>
      </c>
      <c r="D134" s="3" t="s">
        <v>32</v>
      </c>
      <c r="E134" s="3" t="s">
        <v>33</v>
      </c>
    </row>
    <row r="135" spans="1:5" x14ac:dyDescent="0.3">
      <c r="A135" t="s">
        <v>374</v>
      </c>
      <c r="B135" t="s">
        <v>372</v>
      </c>
      <c r="C135" t="s">
        <v>373</v>
      </c>
      <c r="D135" s="3" t="s">
        <v>32</v>
      </c>
      <c r="E135" s="3" t="s">
        <v>33</v>
      </c>
    </row>
    <row r="136" spans="1:5" x14ac:dyDescent="0.3">
      <c r="A136" t="s">
        <v>375</v>
      </c>
      <c r="B136" t="s">
        <v>372</v>
      </c>
      <c r="C136" t="s">
        <v>373</v>
      </c>
      <c r="D136" s="3" t="s">
        <v>32</v>
      </c>
      <c r="E136" s="3" t="s">
        <v>33</v>
      </c>
    </row>
    <row r="137" spans="1:5" x14ac:dyDescent="0.3">
      <c r="A137" t="s">
        <v>376</v>
      </c>
      <c r="B137" t="s">
        <v>377</v>
      </c>
      <c r="C137" t="s">
        <v>378</v>
      </c>
      <c r="D137" s="3" t="s">
        <v>91</v>
      </c>
      <c r="E137" s="3" t="s">
        <v>48</v>
      </c>
    </row>
    <row r="138" spans="1:5" x14ac:dyDescent="0.3">
      <c r="A138" t="s">
        <v>379</v>
      </c>
      <c r="B138" t="s">
        <v>380</v>
      </c>
      <c r="C138" t="s">
        <v>381</v>
      </c>
      <c r="D138" s="3" t="s">
        <v>58</v>
      </c>
      <c r="E138" s="3" t="s">
        <v>14</v>
      </c>
    </row>
    <row r="139" spans="1:5" x14ac:dyDescent="0.3">
      <c r="A139" t="s">
        <v>382</v>
      </c>
      <c r="B139" t="s">
        <v>380</v>
      </c>
      <c r="C139" t="s">
        <v>381</v>
      </c>
      <c r="D139" s="3" t="s">
        <v>58</v>
      </c>
      <c r="E139" s="3" t="s">
        <v>14</v>
      </c>
    </row>
    <row r="140" spans="1:5" x14ac:dyDescent="0.3">
      <c r="A140" t="s">
        <v>383</v>
      </c>
      <c r="B140" t="s">
        <v>384</v>
      </c>
      <c r="C140" t="s">
        <v>385</v>
      </c>
      <c r="D140" s="3" t="s">
        <v>32</v>
      </c>
      <c r="E140" s="3" t="s">
        <v>33</v>
      </c>
    </row>
    <row r="141" spans="1:5" x14ac:dyDescent="0.3">
      <c r="A141" t="s">
        <v>386</v>
      </c>
      <c r="B141" t="s">
        <v>387</v>
      </c>
      <c r="C141" t="s">
        <v>388</v>
      </c>
      <c r="D141" s="3" t="s">
        <v>32</v>
      </c>
      <c r="E141" s="3" t="s">
        <v>33</v>
      </c>
    </row>
    <row r="142" spans="1:5" x14ac:dyDescent="0.3">
      <c r="A142" t="s">
        <v>389</v>
      </c>
      <c r="B142" t="s">
        <v>387</v>
      </c>
      <c r="C142" t="s">
        <v>388</v>
      </c>
      <c r="D142" s="3" t="s">
        <v>32</v>
      </c>
      <c r="E142" s="3" t="s">
        <v>33</v>
      </c>
    </row>
    <row r="143" spans="1:5" x14ac:dyDescent="0.3">
      <c r="A143" t="s">
        <v>390</v>
      </c>
      <c r="B143" t="s">
        <v>387</v>
      </c>
      <c r="C143" t="s">
        <v>388</v>
      </c>
      <c r="D143" s="3" t="s">
        <v>32</v>
      </c>
      <c r="E143" s="3" t="s">
        <v>33</v>
      </c>
    </row>
    <row r="144" spans="1:5" x14ac:dyDescent="0.3">
      <c r="A144" t="s">
        <v>391</v>
      </c>
      <c r="B144" t="s">
        <v>392</v>
      </c>
      <c r="C144" t="s">
        <v>393</v>
      </c>
      <c r="D144" s="3" t="s">
        <v>112</v>
      </c>
      <c r="E144" s="3" t="s">
        <v>19</v>
      </c>
    </row>
    <row r="145" spans="1:5" x14ac:dyDescent="0.3">
      <c r="A145" t="s">
        <v>394</v>
      </c>
      <c r="B145" t="s">
        <v>395</v>
      </c>
      <c r="C145" t="s">
        <v>396</v>
      </c>
      <c r="D145" s="3" t="s">
        <v>397</v>
      </c>
      <c r="E145" s="3" t="s">
        <v>14</v>
      </c>
    </row>
    <row r="146" spans="1:5" x14ac:dyDescent="0.3">
      <c r="A146" t="s">
        <v>398</v>
      </c>
      <c r="B146" t="s">
        <v>395</v>
      </c>
      <c r="C146" t="s">
        <v>396</v>
      </c>
      <c r="D146" s="3" t="s">
        <v>397</v>
      </c>
      <c r="E146" s="3" t="s">
        <v>14</v>
      </c>
    </row>
    <row r="147" spans="1:5" x14ac:dyDescent="0.3">
      <c r="A147" t="s">
        <v>399</v>
      </c>
      <c r="B147" t="s">
        <v>400</v>
      </c>
      <c r="C147" t="s">
        <v>401</v>
      </c>
      <c r="D147" s="3" t="s">
        <v>402</v>
      </c>
      <c r="E147" s="3" t="s">
        <v>247</v>
      </c>
    </row>
    <row r="148" spans="1:5" x14ac:dyDescent="0.3">
      <c r="A148" t="s">
        <v>403</v>
      </c>
      <c r="B148" t="s">
        <v>400</v>
      </c>
      <c r="C148" t="s">
        <v>401</v>
      </c>
      <c r="D148" s="3" t="s">
        <v>402</v>
      </c>
      <c r="E148" s="3" t="s">
        <v>247</v>
      </c>
    </row>
    <row r="149" spans="1:5" x14ac:dyDescent="0.3">
      <c r="A149" t="s">
        <v>404</v>
      </c>
      <c r="B149" t="s">
        <v>400</v>
      </c>
      <c r="C149" t="s">
        <v>401</v>
      </c>
      <c r="D149" s="3" t="s">
        <v>402</v>
      </c>
      <c r="E149" s="3" t="s">
        <v>247</v>
      </c>
    </row>
    <row r="150" spans="1:5" x14ac:dyDescent="0.3">
      <c r="A150" t="s">
        <v>405</v>
      </c>
      <c r="B150" t="s">
        <v>406</v>
      </c>
      <c r="C150" t="s">
        <v>407</v>
      </c>
      <c r="D150" s="3" t="s">
        <v>143</v>
      </c>
      <c r="E150" s="3" t="s">
        <v>144</v>
      </c>
    </row>
    <row r="151" spans="1:5" x14ac:dyDescent="0.3">
      <c r="A151" t="s">
        <v>408</v>
      </c>
      <c r="B151" t="s">
        <v>409</v>
      </c>
      <c r="C151" t="s">
        <v>410</v>
      </c>
      <c r="D151" s="3" t="s">
        <v>91</v>
      </c>
      <c r="E151" s="3" t="s">
        <v>48</v>
      </c>
    </row>
    <row r="152" spans="1:5" x14ac:dyDescent="0.3">
      <c r="A152" t="s">
        <v>411</v>
      </c>
      <c r="B152" t="s">
        <v>412</v>
      </c>
      <c r="C152" t="s">
        <v>413</v>
      </c>
      <c r="D152" s="3" t="s">
        <v>79</v>
      </c>
      <c r="E152" s="3" t="s">
        <v>33</v>
      </c>
    </row>
    <row r="153" spans="1:5" x14ac:dyDescent="0.3">
      <c r="A153" t="s">
        <v>414</v>
      </c>
      <c r="B153" t="s">
        <v>415</v>
      </c>
      <c r="C153" t="s">
        <v>416</v>
      </c>
      <c r="D153" s="3" t="s">
        <v>417</v>
      </c>
      <c r="E153" s="3" t="s">
        <v>247</v>
      </c>
    </row>
    <row r="154" spans="1:5" x14ac:dyDescent="0.3">
      <c r="A154" t="s">
        <v>418</v>
      </c>
      <c r="B154" t="s">
        <v>419</v>
      </c>
      <c r="C154" t="s">
        <v>420</v>
      </c>
      <c r="D154" s="3" t="s">
        <v>32</v>
      </c>
      <c r="E154" s="3" t="s">
        <v>33</v>
      </c>
    </row>
    <row r="155" spans="1:5" x14ac:dyDescent="0.3">
      <c r="A155" t="s">
        <v>421</v>
      </c>
      <c r="B155" t="s">
        <v>419</v>
      </c>
      <c r="C155" t="s">
        <v>420</v>
      </c>
      <c r="D155" s="3" t="s">
        <v>32</v>
      </c>
      <c r="E155" s="3" t="s">
        <v>33</v>
      </c>
    </row>
    <row r="156" spans="1:5" x14ac:dyDescent="0.3">
      <c r="A156" t="s">
        <v>422</v>
      </c>
      <c r="B156" t="s">
        <v>419</v>
      </c>
      <c r="C156" t="s">
        <v>420</v>
      </c>
      <c r="D156" s="3" t="s">
        <v>32</v>
      </c>
      <c r="E156" s="3" t="s">
        <v>33</v>
      </c>
    </row>
    <row r="157" spans="1:5" x14ac:dyDescent="0.3">
      <c r="A157" t="s">
        <v>423</v>
      </c>
      <c r="B157" t="s">
        <v>424</v>
      </c>
      <c r="C157" t="s">
        <v>425</v>
      </c>
      <c r="D157" s="3" t="s">
        <v>356</v>
      </c>
      <c r="E157" s="3" t="s">
        <v>14</v>
      </c>
    </row>
    <row r="158" spans="1:5" x14ac:dyDescent="0.3">
      <c r="A158" t="s">
        <v>426</v>
      </c>
      <c r="B158" t="s">
        <v>117</v>
      </c>
      <c r="C158" t="s">
        <v>118</v>
      </c>
      <c r="D158" s="3" t="s">
        <v>23</v>
      </c>
      <c r="E158" s="3" t="s">
        <v>28</v>
      </c>
    </row>
    <row r="159" spans="1:5" x14ac:dyDescent="0.3">
      <c r="A159" t="s">
        <v>427</v>
      </c>
      <c r="B159" t="s">
        <v>428</v>
      </c>
      <c r="C159" t="s">
        <v>429</v>
      </c>
      <c r="D159" s="3" t="s">
        <v>331</v>
      </c>
      <c r="E159" s="3" t="s">
        <v>48</v>
      </c>
    </row>
    <row r="160" spans="1:5" x14ac:dyDescent="0.3">
      <c r="A160" t="s">
        <v>430</v>
      </c>
      <c r="B160" t="s">
        <v>428</v>
      </c>
      <c r="C160" t="s">
        <v>429</v>
      </c>
      <c r="D160" s="3" t="s">
        <v>331</v>
      </c>
      <c r="E160" s="3" t="s">
        <v>48</v>
      </c>
    </row>
    <row r="161" spans="1:5" x14ac:dyDescent="0.3">
      <c r="A161" t="s">
        <v>431</v>
      </c>
      <c r="B161" t="s">
        <v>432</v>
      </c>
      <c r="C161" t="s">
        <v>433</v>
      </c>
      <c r="D161" s="3" t="s">
        <v>331</v>
      </c>
      <c r="E161" s="3" t="s">
        <v>48</v>
      </c>
    </row>
    <row r="162" spans="1:5" x14ac:dyDescent="0.3">
      <c r="A162" t="s">
        <v>434</v>
      </c>
      <c r="B162" t="s">
        <v>432</v>
      </c>
      <c r="C162" t="s">
        <v>433</v>
      </c>
      <c r="D162" s="3" t="s">
        <v>331</v>
      </c>
      <c r="E162" s="3" t="s">
        <v>48</v>
      </c>
    </row>
    <row r="163" spans="1:5" x14ac:dyDescent="0.3">
      <c r="A163" t="s">
        <v>435</v>
      </c>
      <c r="B163" t="s">
        <v>436</v>
      </c>
      <c r="C163" t="s">
        <v>437</v>
      </c>
      <c r="D163" s="3" t="s">
        <v>331</v>
      </c>
      <c r="E163" s="3" t="s">
        <v>48</v>
      </c>
    </row>
    <row r="164" spans="1:5" x14ac:dyDescent="0.3">
      <c r="A164" t="s">
        <v>438</v>
      </c>
      <c r="B164" t="s">
        <v>436</v>
      </c>
      <c r="C164" t="s">
        <v>437</v>
      </c>
      <c r="D164" s="3" t="s">
        <v>331</v>
      </c>
      <c r="E164" s="3" t="s">
        <v>48</v>
      </c>
    </row>
    <row r="165" spans="1:5" x14ac:dyDescent="0.3">
      <c r="A165" t="s">
        <v>439</v>
      </c>
      <c r="B165" t="s">
        <v>440</v>
      </c>
      <c r="C165" t="s">
        <v>441</v>
      </c>
      <c r="D165" s="3" t="s">
        <v>129</v>
      </c>
      <c r="E165" s="3" t="s">
        <v>48</v>
      </c>
    </row>
    <row r="166" spans="1:5" x14ac:dyDescent="0.3">
      <c r="A166" t="s">
        <v>442</v>
      </c>
      <c r="B166" t="s">
        <v>443</v>
      </c>
      <c r="C166" t="s">
        <v>444</v>
      </c>
      <c r="D166" s="3" t="s">
        <v>445</v>
      </c>
      <c r="E166" s="3" t="s">
        <v>48</v>
      </c>
    </row>
    <row r="167" spans="1:5" x14ac:dyDescent="0.3">
      <c r="A167" t="s">
        <v>446</v>
      </c>
      <c r="B167" t="s">
        <v>447</v>
      </c>
      <c r="C167" t="s">
        <v>448</v>
      </c>
      <c r="D167" s="3" t="s">
        <v>176</v>
      </c>
      <c r="E167" s="3" t="s">
        <v>14</v>
      </c>
    </row>
    <row r="168" spans="1:5" x14ac:dyDescent="0.3">
      <c r="A168" t="s">
        <v>449</v>
      </c>
      <c r="B168" t="s">
        <v>450</v>
      </c>
      <c r="C168" t="s">
        <v>451</v>
      </c>
      <c r="D168" s="3" t="s">
        <v>129</v>
      </c>
      <c r="E168" s="3" t="s">
        <v>48</v>
      </c>
    </row>
    <row r="169" spans="1:5" x14ac:dyDescent="0.3">
      <c r="A169" t="s">
        <v>452</v>
      </c>
      <c r="B169" t="s">
        <v>453</v>
      </c>
      <c r="C169" t="s">
        <v>454</v>
      </c>
      <c r="D169" s="3" t="s">
        <v>8</v>
      </c>
      <c r="E169" s="3" t="s">
        <v>9</v>
      </c>
    </row>
    <row r="170" spans="1:5" x14ac:dyDescent="0.3">
      <c r="A170" t="s">
        <v>455</v>
      </c>
      <c r="B170" t="s">
        <v>456</v>
      </c>
      <c r="C170" t="s">
        <v>457</v>
      </c>
      <c r="D170" s="3" t="s">
        <v>266</v>
      </c>
      <c r="E170" s="3" t="s">
        <v>267</v>
      </c>
    </row>
    <row r="171" spans="1:5" x14ac:dyDescent="0.3">
      <c r="A171" t="s">
        <v>458</v>
      </c>
      <c r="B171" t="s">
        <v>459</v>
      </c>
      <c r="C171" t="s">
        <v>460</v>
      </c>
      <c r="D171" s="3" t="s">
        <v>275</v>
      </c>
      <c r="E171" s="3" t="s">
        <v>247</v>
      </c>
    </row>
    <row r="172" spans="1:5" x14ac:dyDescent="0.3">
      <c r="A172" t="s">
        <v>461</v>
      </c>
      <c r="B172" t="s">
        <v>459</v>
      </c>
      <c r="C172" t="s">
        <v>460</v>
      </c>
      <c r="D172" s="3" t="s">
        <v>275</v>
      </c>
      <c r="E172" s="3" t="s">
        <v>247</v>
      </c>
    </row>
    <row r="173" spans="1:5" x14ac:dyDescent="0.3">
      <c r="A173" t="s">
        <v>462</v>
      </c>
      <c r="B173" t="s">
        <v>463</v>
      </c>
      <c r="C173" t="s">
        <v>464</v>
      </c>
      <c r="D173" s="3" t="s">
        <v>129</v>
      </c>
      <c r="E173" s="3" t="s">
        <v>48</v>
      </c>
    </row>
    <row r="174" spans="1:5" x14ac:dyDescent="0.3">
      <c r="A174" t="s">
        <v>465</v>
      </c>
      <c r="B174" t="s">
        <v>466</v>
      </c>
      <c r="C174" t="s">
        <v>467</v>
      </c>
      <c r="D174" s="3" t="s">
        <v>397</v>
      </c>
      <c r="E174" s="3" t="s">
        <v>14</v>
      </c>
    </row>
    <row r="175" spans="1:5" x14ac:dyDescent="0.3">
      <c r="A175" t="s">
        <v>468</v>
      </c>
      <c r="B175" t="s">
        <v>469</v>
      </c>
      <c r="C175" t="s">
        <v>470</v>
      </c>
      <c r="D175" s="3" t="s">
        <v>200</v>
      </c>
      <c r="E175" s="3" t="s">
        <v>9</v>
      </c>
    </row>
    <row r="176" spans="1:5" x14ac:dyDescent="0.3">
      <c r="A176" t="s">
        <v>471</v>
      </c>
      <c r="B176" t="s">
        <v>472</v>
      </c>
      <c r="C176" t="s">
        <v>473</v>
      </c>
      <c r="D176" s="3" t="s">
        <v>331</v>
      </c>
      <c r="E176" s="3" t="s">
        <v>48</v>
      </c>
    </row>
    <row r="177" spans="1:5" x14ac:dyDescent="0.3">
      <c r="A177" t="s">
        <v>474</v>
      </c>
      <c r="B177" t="s">
        <v>472</v>
      </c>
      <c r="C177" t="s">
        <v>473</v>
      </c>
      <c r="D177" s="3" t="s">
        <v>331</v>
      </c>
      <c r="E177" s="3" t="s">
        <v>48</v>
      </c>
    </row>
    <row r="178" spans="1:5" x14ac:dyDescent="0.3">
      <c r="A178" t="s">
        <v>475</v>
      </c>
      <c r="B178" t="s">
        <v>476</v>
      </c>
      <c r="C178" t="s">
        <v>477</v>
      </c>
      <c r="D178" s="3" t="s">
        <v>478</v>
      </c>
      <c r="E178" s="3" t="s">
        <v>48</v>
      </c>
    </row>
    <row r="179" spans="1:5" x14ac:dyDescent="0.3">
      <c r="A179" t="s">
        <v>479</v>
      </c>
      <c r="B179" t="s">
        <v>480</v>
      </c>
      <c r="C179" t="s">
        <v>481</v>
      </c>
      <c r="D179" s="3" t="s">
        <v>23</v>
      </c>
      <c r="E179" s="3" t="s">
        <v>28</v>
      </c>
    </row>
    <row r="180" spans="1:5" x14ac:dyDescent="0.3">
      <c r="A180" t="s">
        <v>482</v>
      </c>
      <c r="B180" t="s">
        <v>483</v>
      </c>
      <c r="C180" t="s">
        <v>484</v>
      </c>
      <c r="D180" s="3" t="s">
        <v>485</v>
      </c>
      <c r="E180" s="3" t="s">
        <v>247</v>
      </c>
    </row>
    <row r="181" spans="1:5" x14ac:dyDescent="0.3">
      <c r="A181" t="s">
        <v>486</v>
      </c>
      <c r="B181" t="s">
        <v>487</v>
      </c>
      <c r="C181" t="s">
        <v>488</v>
      </c>
      <c r="D181" s="3" t="s">
        <v>27</v>
      </c>
      <c r="E181" s="3" t="s">
        <v>28</v>
      </c>
    </row>
    <row r="182" spans="1:5" x14ac:dyDescent="0.3">
      <c r="A182" t="s">
        <v>489</v>
      </c>
      <c r="B182" t="s">
        <v>487</v>
      </c>
      <c r="C182" t="s">
        <v>488</v>
      </c>
      <c r="D182" s="3" t="s">
        <v>27</v>
      </c>
      <c r="E182" s="3" t="s">
        <v>28</v>
      </c>
    </row>
    <row r="183" spans="1:5" x14ac:dyDescent="0.3">
      <c r="A183" t="s">
        <v>490</v>
      </c>
      <c r="B183" t="s">
        <v>491</v>
      </c>
      <c r="C183" t="s">
        <v>492</v>
      </c>
      <c r="D183" s="3" t="s">
        <v>316</v>
      </c>
      <c r="E183" s="3" t="s">
        <v>28</v>
      </c>
    </row>
    <row r="184" spans="1:5" x14ac:dyDescent="0.3">
      <c r="A184" t="s">
        <v>493</v>
      </c>
      <c r="B184" t="s">
        <v>494</v>
      </c>
      <c r="C184" t="s">
        <v>495</v>
      </c>
      <c r="D184" s="3" t="s">
        <v>32</v>
      </c>
      <c r="E184" s="3" t="s">
        <v>33</v>
      </c>
    </row>
    <row r="185" spans="1:5" x14ac:dyDescent="0.3">
      <c r="A185" t="s">
        <v>496</v>
      </c>
      <c r="B185" t="s">
        <v>497</v>
      </c>
      <c r="C185" t="s">
        <v>498</v>
      </c>
      <c r="D185" s="3" t="s">
        <v>32</v>
      </c>
      <c r="E185" s="3" t="s">
        <v>33</v>
      </c>
    </row>
    <row r="186" spans="1:5" x14ac:dyDescent="0.3">
      <c r="A186" t="s">
        <v>499</v>
      </c>
      <c r="B186" t="s">
        <v>497</v>
      </c>
      <c r="C186" t="s">
        <v>498</v>
      </c>
      <c r="D186" s="3" t="s">
        <v>32</v>
      </c>
      <c r="E186" s="3" t="s">
        <v>33</v>
      </c>
    </row>
    <row r="187" spans="1:5" x14ac:dyDescent="0.3">
      <c r="A187" t="s">
        <v>500</v>
      </c>
      <c r="B187" t="s">
        <v>131</v>
      </c>
      <c r="C187" t="s">
        <v>132</v>
      </c>
      <c r="D187" s="3" t="s">
        <v>32</v>
      </c>
      <c r="E187" s="3" t="s">
        <v>33</v>
      </c>
    </row>
    <row r="188" spans="1:5" x14ac:dyDescent="0.3">
      <c r="A188" t="s">
        <v>501</v>
      </c>
      <c r="B188" t="s">
        <v>131</v>
      </c>
      <c r="C188" t="s">
        <v>132</v>
      </c>
      <c r="D188" s="3" t="s">
        <v>32</v>
      </c>
      <c r="E188" s="3" t="s">
        <v>33</v>
      </c>
    </row>
    <row r="189" spans="1:5" x14ac:dyDescent="0.3">
      <c r="A189" t="s">
        <v>502</v>
      </c>
      <c r="B189" t="s">
        <v>131</v>
      </c>
      <c r="C189" t="s">
        <v>132</v>
      </c>
      <c r="D189" s="3" t="s">
        <v>32</v>
      </c>
      <c r="E189" s="3" t="s">
        <v>33</v>
      </c>
    </row>
    <row r="190" spans="1:5" x14ac:dyDescent="0.3">
      <c r="A190" t="s">
        <v>503</v>
      </c>
      <c r="B190" t="s">
        <v>504</v>
      </c>
      <c r="C190" t="s">
        <v>505</v>
      </c>
      <c r="D190" s="3" t="s">
        <v>506</v>
      </c>
      <c r="E190" s="3" t="s">
        <v>267</v>
      </c>
    </row>
    <row r="191" spans="1:5" x14ac:dyDescent="0.3">
      <c r="A191" t="s">
        <v>507</v>
      </c>
      <c r="B191" t="s">
        <v>508</v>
      </c>
      <c r="C191" t="s">
        <v>509</v>
      </c>
      <c r="D191" s="3" t="s">
        <v>32</v>
      </c>
      <c r="E191" s="3" t="s">
        <v>33</v>
      </c>
    </row>
    <row r="192" spans="1:5" x14ac:dyDescent="0.3">
      <c r="A192" t="s">
        <v>510</v>
      </c>
      <c r="B192" t="s">
        <v>508</v>
      </c>
      <c r="C192" t="s">
        <v>509</v>
      </c>
      <c r="D192" s="3" t="s">
        <v>32</v>
      </c>
      <c r="E192" s="3" t="s">
        <v>33</v>
      </c>
    </row>
    <row r="193" spans="1:5" x14ac:dyDescent="0.3">
      <c r="A193" t="s">
        <v>511</v>
      </c>
      <c r="B193" t="s">
        <v>512</v>
      </c>
      <c r="C193" t="s">
        <v>513</v>
      </c>
      <c r="D193" s="3" t="s">
        <v>514</v>
      </c>
      <c r="E193" s="3" t="s">
        <v>28</v>
      </c>
    </row>
    <row r="194" spans="1:5" x14ac:dyDescent="0.3">
      <c r="A194" t="s">
        <v>515</v>
      </c>
      <c r="B194" t="s">
        <v>512</v>
      </c>
      <c r="C194" t="s">
        <v>513</v>
      </c>
      <c r="D194" s="3" t="s">
        <v>514</v>
      </c>
      <c r="E194" s="3" t="s">
        <v>28</v>
      </c>
    </row>
    <row r="195" spans="1:5" x14ac:dyDescent="0.3">
      <c r="A195" t="s">
        <v>516</v>
      </c>
      <c r="B195" t="s">
        <v>517</v>
      </c>
      <c r="C195" t="s">
        <v>518</v>
      </c>
      <c r="D195" s="3" t="s">
        <v>143</v>
      </c>
      <c r="E195" s="3" t="s">
        <v>144</v>
      </c>
    </row>
    <row r="196" spans="1:5" x14ac:dyDescent="0.3">
      <c r="A196" t="s">
        <v>519</v>
      </c>
      <c r="B196" t="s">
        <v>520</v>
      </c>
      <c r="C196" t="s">
        <v>521</v>
      </c>
      <c r="D196" s="3" t="s">
        <v>32</v>
      </c>
      <c r="E196" s="3" t="s">
        <v>33</v>
      </c>
    </row>
    <row r="197" spans="1:5" x14ac:dyDescent="0.3">
      <c r="A197" t="s">
        <v>522</v>
      </c>
      <c r="B197" t="s">
        <v>523</v>
      </c>
      <c r="C197" t="s">
        <v>524</v>
      </c>
      <c r="D197" s="3" t="s">
        <v>32</v>
      </c>
      <c r="E197" s="3" t="s">
        <v>33</v>
      </c>
    </row>
    <row r="198" spans="1:5" x14ac:dyDescent="0.3">
      <c r="A198" t="s">
        <v>525</v>
      </c>
      <c r="B198" t="s">
        <v>523</v>
      </c>
      <c r="C198" t="s">
        <v>524</v>
      </c>
      <c r="D198" s="3" t="s">
        <v>32</v>
      </c>
      <c r="E198" s="3" t="s">
        <v>33</v>
      </c>
    </row>
    <row r="199" spans="1:5" x14ac:dyDescent="0.3">
      <c r="A199" t="s">
        <v>526</v>
      </c>
      <c r="B199" t="s">
        <v>523</v>
      </c>
      <c r="C199" t="s">
        <v>524</v>
      </c>
      <c r="D199" s="3" t="s">
        <v>32</v>
      </c>
      <c r="E199" s="3" t="s">
        <v>33</v>
      </c>
    </row>
    <row r="200" spans="1:5" x14ac:dyDescent="0.3">
      <c r="A200" t="s">
        <v>527</v>
      </c>
      <c r="B200" t="s">
        <v>528</v>
      </c>
      <c r="C200" t="s">
        <v>529</v>
      </c>
      <c r="D200" s="3" t="s">
        <v>222</v>
      </c>
      <c r="E200" s="3" t="s">
        <v>223</v>
      </c>
    </row>
    <row r="201" spans="1:5" x14ac:dyDescent="0.3">
      <c r="A201" t="s">
        <v>530</v>
      </c>
      <c r="B201" t="s">
        <v>531</v>
      </c>
      <c r="C201" t="s">
        <v>532</v>
      </c>
      <c r="D201" s="3" t="s">
        <v>32</v>
      </c>
      <c r="E201" s="3" t="s">
        <v>33</v>
      </c>
    </row>
    <row r="202" spans="1:5" x14ac:dyDescent="0.3">
      <c r="A202" t="s">
        <v>533</v>
      </c>
      <c r="B202" t="s">
        <v>531</v>
      </c>
      <c r="C202" t="s">
        <v>532</v>
      </c>
      <c r="D202" s="3" t="s">
        <v>32</v>
      </c>
      <c r="E202" s="3" t="s">
        <v>33</v>
      </c>
    </row>
    <row r="203" spans="1:5" x14ac:dyDescent="0.3">
      <c r="A203" t="s">
        <v>534</v>
      </c>
      <c r="B203" t="s">
        <v>535</v>
      </c>
      <c r="C203" t="s">
        <v>536</v>
      </c>
      <c r="D203" s="3" t="s">
        <v>105</v>
      </c>
      <c r="E203" s="3" t="s">
        <v>14</v>
      </c>
    </row>
    <row r="204" spans="1:5" x14ac:dyDescent="0.3">
      <c r="A204" t="s">
        <v>537</v>
      </c>
      <c r="B204" t="s">
        <v>538</v>
      </c>
      <c r="C204" t="s">
        <v>539</v>
      </c>
      <c r="D204" s="3" t="s">
        <v>32</v>
      </c>
      <c r="E204" s="3" t="s">
        <v>33</v>
      </c>
    </row>
    <row r="205" spans="1:5" x14ac:dyDescent="0.3">
      <c r="A205" t="s">
        <v>540</v>
      </c>
      <c r="B205" t="s">
        <v>538</v>
      </c>
      <c r="C205" t="s">
        <v>539</v>
      </c>
      <c r="D205" s="3" t="s">
        <v>32</v>
      </c>
      <c r="E205" s="3" t="s">
        <v>33</v>
      </c>
    </row>
    <row r="206" spans="1:5" x14ac:dyDescent="0.3">
      <c r="A206" t="s">
        <v>541</v>
      </c>
      <c r="B206" t="s">
        <v>538</v>
      </c>
      <c r="C206" t="s">
        <v>539</v>
      </c>
      <c r="D206" s="3" t="s">
        <v>32</v>
      </c>
      <c r="E206" s="3" t="s">
        <v>33</v>
      </c>
    </row>
    <row r="207" spans="1:5" x14ac:dyDescent="0.3">
      <c r="A207" t="s">
        <v>542</v>
      </c>
      <c r="B207" t="s">
        <v>543</v>
      </c>
      <c r="C207" t="s">
        <v>544</v>
      </c>
      <c r="D207" s="3" t="s">
        <v>32</v>
      </c>
      <c r="E207" s="3" t="s">
        <v>33</v>
      </c>
    </row>
    <row r="208" spans="1:5" x14ac:dyDescent="0.3">
      <c r="A208" t="s">
        <v>545</v>
      </c>
      <c r="B208" t="s">
        <v>546</v>
      </c>
      <c r="C208" t="s">
        <v>547</v>
      </c>
      <c r="D208" s="3" t="s">
        <v>548</v>
      </c>
      <c r="E208" s="3" t="s">
        <v>19</v>
      </c>
    </row>
    <row r="209" spans="1:5" x14ac:dyDescent="0.3">
      <c r="A209" t="s">
        <v>549</v>
      </c>
      <c r="B209" t="s">
        <v>550</v>
      </c>
      <c r="C209" t="s">
        <v>551</v>
      </c>
      <c r="D209" s="3" t="s">
        <v>552</v>
      </c>
      <c r="E209" s="3" t="s">
        <v>48</v>
      </c>
    </row>
    <row r="210" spans="1:5" x14ac:dyDescent="0.3">
      <c r="A210" t="s">
        <v>553</v>
      </c>
      <c r="B210" t="s">
        <v>550</v>
      </c>
      <c r="C210" t="s">
        <v>551</v>
      </c>
      <c r="D210" s="3" t="s">
        <v>552</v>
      </c>
      <c r="E210" s="3" t="s">
        <v>48</v>
      </c>
    </row>
    <row r="211" spans="1:5" x14ac:dyDescent="0.3">
      <c r="A211" t="s">
        <v>554</v>
      </c>
      <c r="B211" t="s">
        <v>555</v>
      </c>
      <c r="C211" t="s">
        <v>556</v>
      </c>
      <c r="D211" s="3" t="s">
        <v>557</v>
      </c>
      <c r="E211" s="3" t="s">
        <v>28</v>
      </c>
    </row>
    <row r="212" spans="1:5" x14ac:dyDescent="0.3">
      <c r="A212" t="s">
        <v>558</v>
      </c>
      <c r="B212" t="s">
        <v>559</v>
      </c>
      <c r="C212" t="s">
        <v>560</v>
      </c>
      <c r="D212" s="3" t="s">
        <v>485</v>
      </c>
      <c r="E212" s="3" t="s">
        <v>247</v>
      </c>
    </row>
    <row r="213" spans="1:5" x14ac:dyDescent="0.3">
      <c r="A213" t="s">
        <v>561</v>
      </c>
      <c r="B213" t="s">
        <v>559</v>
      </c>
      <c r="C213" t="s">
        <v>560</v>
      </c>
      <c r="D213" s="3" t="s">
        <v>485</v>
      </c>
      <c r="E213" s="3" t="s">
        <v>247</v>
      </c>
    </row>
    <row r="214" spans="1:5" x14ac:dyDescent="0.3">
      <c r="A214" t="s">
        <v>562</v>
      </c>
      <c r="B214" t="s">
        <v>563</v>
      </c>
      <c r="C214" t="s">
        <v>564</v>
      </c>
      <c r="D214" s="3" t="s">
        <v>129</v>
      </c>
      <c r="E214" s="3" t="s">
        <v>48</v>
      </c>
    </row>
    <row r="215" spans="1:5" x14ac:dyDescent="0.3">
      <c r="A215" t="s">
        <v>565</v>
      </c>
      <c r="B215" t="s">
        <v>566</v>
      </c>
      <c r="C215" t="s">
        <v>567</v>
      </c>
      <c r="D215" s="3" t="s">
        <v>129</v>
      </c>
      <c r="E215" s="3" t="s">
        <v>48</v>
      </c>
    </row>
    <row r="216" spans="1:5" x14ac:dyDescent="0.3">
      <c r="A216" t="s">
        <v>568</v>
      </c>
      <c r="B216" t="s">
        <v>569</v>
      </c>
      <c r="C216" t="s">
        <v>570</v>
      </c>
      <c r="D216" s="3" t="s">
        <v>417</v>
      </c>
      <c r="E216" s="3" t="s">
        <v>247</v>
      </c>
    </row>
    <row r="217" spans="1:5" x14ac:dyDescent="0.3">
      <c r="A217" t="s">
        <v>571</v>
      </c>
      <c r="B217" t="s">
        <v>569</v>
      </c>
      <c r="C217" t="s">
        <v>570</v>
      </c>
      <c r="D217" s="3" t="s">
        <v>417</v>
      </c>
      <c r="E217" s="3" t="s">
        <v>247</v>
      </c>
    </row>
    <row r="218" spans="1:5" x14ac:dyDescent="0.3">
      <c r="A218" t="s">
        <v>572</v>
      </c>
      <c r="B218" t="s">
        <v>573</v>
      </c>
      <c r="C218" t="s">
        <v>574</v>
      </c>
      <c r="D218" s="3" t="s">
        <v>575</v>
      </c>
      <c r="E218" s="3" t="s">
        <v>247</v>
      </c>
    </row>
    <row r="219" spans="1:5" x14ac:dyDescent="0.3">
      <c r="A219" t="s">
        <v>576</v>
      </c>
      <c r="B219" t="s">
        <v>120</v>
      </c>
      <c r="C219" t="s">
        <v>121</v>
      </c>
      <c r="D219" s="3" t="s">
        <v>163</v>
      </c>
      <c r="E219" s="3" t="s">
        <v>19</v>
      </c>
    </row>
    <row r="220" spans="1:5" x14ac:dyDescent="0.3">
      <c r="A220" t="s">
        <v>577</v>
      </c>
      <c r="B220" t="s">
        <v>578</v>
      </c>
      <c r="C220" t="s">
        <v>579</v>
      </c>
      <c r="D220" s="3" t="s">
        <v>129</v>
      </c>
      <c r="E220" s="3" t="s">
        <v>48</v>
      </c>
    </row>
    <row r="221" spans="1:5" x14ac:dyDescent="0.3">
      <c r="A221" t="s">
        <v>580</v>
      </c>
      <c r="B221" t="s">
        <v>581</v>
      </c>
      <c r="C221" t="s">
        <v>582</v>
      </c>
      <c r="D221" s="3" t="s">
        <v>583</v>
      </c>
      <c r="E221" s="3" t="s">
        <v>14</v>
      </c>
    </row>
    <row r="222" spans="1:5" x14ac:dyDescent="0.3">
      <c r="A222" t="s">
        <v>584</v>
      </c>
      <c r="B222" t="s">
        <v>581</v>
      </c>
      <c r="C222" t="s">
        <v>582</v>
      </c>
      <c r="D222" s="3" t="s">
        <v>583</v>
      </c>
      <c r="E222" s="3" t="s">
        <v>14</v>
      </c>
    </row>
    <row r="223" spans="1:5" x14ac:dyDescent="0.3">
      <c r="A223" t="s">
        <v>585</v>
      </c>
      <c r="B223" t="s">
        <v>586</v>
      </c>
      <c r="C223" t="s">
        <v>587</v>
      </c>
      <c r="D223" s="3" t="s">
        <v>266</v>
      </c>
      <c r="E223" s="3" t="s">
        <v>267</v>
      </c>
    </row>
    <row r="224" spans="1:5" x14ac:dyDescent="0.3">
      <c r="A224" t="s">
        <v>588</v>
      </c>
      <c r="B224" t="s">
        <v>589</v>
      </c>
      <c r="C224" t="s">
        <v>590</v>
      </c>
      <c r="D224" s="3" t="s">
        <v>8</v>
      </c>
      <c r="E224" s="3" t="s">
        <v>9</v>
      </c>
    </row>
    <row r="225" spans="1:5" x14ac:dyDescent="0.3">
      <c r="A225" t="s">
        <v>591</v>
      </c>
      <c r="B225" t="s">
        <v>592</v>
      </c>
      <c r="C225" t="s">
        <v>593</v>
      </c>
      <c r="D225" s="3" t="s">
        <v>594</v>
      </c>
      <c r="E225" s="3" t="s">
        <v>28</v>
      </c>
    </row>
    <row r="226" spans="1:5" x14ac:dyDescent="0.3">
      <c r="A226" t="s">
        <v>595</v>
      </c>
      <c r="B226" t="s">
        <v>596</v>
      </c>
      <c r="C226" t="s">
        <v>597</v>
      </c>
      <c r="D226" s="3" t="s">
        <v>27</v>
      </c>
      <c r="E226" s="3" t="s">
        <v>28</v>
      </c>
    </row>
    <row r="227" spans="1:5" x14ac:dyDescent="0.3">
      <c r="A227" t="s">
        <v>598</v>
      </c>
      <c r="B227" t="s">
        <v>599</v>
      </c>
      <c r="C227" t="s">
        <v>600</v>
      </c>
      <c r="D227" s="3" t="s">
        <v>40</v>
      </c>
      <c r="E227" s="3" t="s">
        <v>19</v>
      </c>
    </row>
    <row r="228" spans="1:5" x14ac:dyDescent="0.3">
      <c r="A228" t="s">
        <v>601</v>
      </c>
      <c r="B228" t="s">
        <v>602</v>
      </c>
      <c r="C228" t="s">
        <v>603</v>
      </c>
      <c r="D228" s="3" t="s">
        <v>32</v>
      </c>
      <c r="E228" s="3" t="s">
        <v>33</v>
      </c>
    </row>
    <row r="229" spans="1:5" x14ac:dyDescent="0.3">
      <c r="A229" t="s">
        <v>604</v>
      </c>
      <c r="B229" t="s">
        <v>602</v>
      </c>
      <c r="C229" t="s">
        <v>603</v>
      </c>
      <c r="D229" s="3" t="s">
        <v>32</v>
      </c>
      <c r="E229" s="3" t="s">
        <v>33</v>
      </c>
    </row>
    <row r="230" spans="1:5" x14ac:dyDescent="0.3">
      <c r="A230" t="s">
        <v>605</v>
      </c>
      <c r="B230" t="s">
        <v>606</v>
      </c>
      <c r="C230" t="s">
        <v>607</v>
      </c>
      <c r="D230" s="3" t="s">
        <v>129</v>
      </c>
      <c r="E230" s="3" t="s">
        <v>48</v>
      </c>
    </row>
    <row r="231" spans="1:5" x14ac:dyDescent="0.3">
      <c r="A231" t="s">
        <v>608</v>
      </c>
      <c r="B231" t="s">
        <v>606</v>
      </c>
      <c r="C231" t="s">
        <v>607</v>
      </c>
      <c r="D231" s="3" t="s">
        <v>129</v>
      </c>
      <c r="E231" s="3" t="s">
        <v>48</v>
      </c>
    </row>
    <row r="232" spans="1:5" x14ac:dyDescent="0.3">
      <c r="A232" t="s">
        <v>609</v>
      </c>
      <c r="B232" t="s">
        <v>610</v>
      </c>
      <c r="C232" t="s">
        <v>611</v>
      </c>
      <c r="D232" s="3" t="s">
        <v>417</v>
      </c>
      <c r="E232" s="3" t="s">
        <v>247</v>
      </c>
    </row>
    <row r="233" spans="1:5" x14ac:dyDescent="0.3">
      <c r="A233" t="s">
        <v>612</v>
      </c>
      <c r="B233" t="s">
        <v>610</v>
      </c>
      <c r="C233" t="s">
        <v>611</v>
      </c>
      <c r="D233" s="3" t="s">
        <v>417</v>
      </c>
      <c r="E233" s="3" t="s">
        <v>247</v>
      </c>
    </row>
    <row r="234" spans="1:5" x14ac:dyDescent="0.3">
      <c r="A234" t="s">
        <v>613</v>
      </c>
      <c r="B234" t="s">
        <v>614</v>
      </c>
      <c r="C234" t="s">
        <v>615</v>
      </c>
      <c r="D234" s="3" t="s">
        <v>23</v>
      </c>
      <c r="E234" s="3" t="s">
        <v>28</v>
      </c>
    </row>
    <row r="235" spans="1:5" x14ac:dyDescent="0.3">
      <c r="A235" t="s">
        <v>616</v>
      </c>
      <c r="B235" t="s">
        <v>617</v>
      </c>
      <c r="C235" t="s">
        <v>618</v>
      </c>
      <c r="D235" s="3" t="s">
        <v>112</v>
      </c>
      <c r="E235" s="3" t="s">
        <v>19</v>
      </c>
    </row>
    <row r="236" spans="1:5" x14ac:dyDescent="0.3">
      <c r="A236" t="s">
        <v>619</v>
      </c>
      <c r="B236" t="s">
        <v>620</v>
      </c>
      <c r="C236" t="s">
        <v>621</v>
      </c>
      <c r="D236" s="3" t="s">
        <v>417</v>
      </c>
      <c r="E236" s="3" t="s">
        <v>247</v>
      </c>
    </row>
    <row r="237" spans="1:5" x14ac:dyDescent="0.3">
      <c r="A237" t="s">
        <v>622</v>
      </c>
      <c r="B237" t="s">
        <v>620</v>
      </c>
      <c r="C237" t="s">
        <v>621</v>
      </c>
      <c r="D237" s="3" t="s">
        <v>417</v>
      </c>
      <c r="E237" s="3" t="s">
        <v>247</v>
      </c>
    </row>
    <row r="238" spans="1:5" x14ac:dyDescent="0.3">
      <c r="A238" t="s">
        <v>623</v>
      </c>
      <c r="B238" t="s">
        <v>624</v>
      </c>
      <c r="C238" t="s">
        <v>625</v>
      </c>
      <c r="D238" s="3" t="s">
        <v>148</v>
      </c>
      <c r="E238" s="3" t="s">
        <v>28</v>
      </c>
    </row>
    <row r="239" spans="1:5" x14ac:dyDescent="0.3">
      <c r="A239" t="s">
        <v>626</v>
      </c>
      <c r="B239" t="s">
        <v>624</v>
      </c>
      <c r="C239" t="s">
        <v>625</v>
      </c>
      <c r="D239" s="3" t="s">
        <v>148</v>
      </c>
      <c r="E239" s="3" t="s">
        <v>28</v>
      </c>
    </row>
    <row r="240" spans="1:5" x14ac:dyDescent="0.3">
      <c r="A240" t="s">
        <v>627</v>
      </c>
      <c r="B240" t="s">
        <v>628</v>
      </c>
      <c r="C240" t="s">
        <v>629</v>
      </c>
      <c r="D240" s="3" t="s">
        <v>32</v>
      </c>
      <c r="E240" s="3" t="s">
        <v>33</v>
      </c>
    </row>
    <row r="241" spans="1:5" x14ac:dyDescent="0.3">
      <c r="A241" t="s">
        <v>630</v>
      </c>
      <c r="B241" t="s">
        <v>631</v>
      </c>
      <c r="C241" t="s">
        <v>632</v>
      </c>
      <c r="D241" s="3" t="s">
        <v>62</v>
      </c>
      <c r="E241" s="3" t="s">
        <v>48</v>
      </c>
    </row>
    <row r="242" spans="1:5" x14ac:dyDescent="0.3">
      <c r="A242" t="s">
        <v>633</v>
      </c>
      <c r="B242" t="s">
        <v>634</v>
      </c>
      <c r="C242" t="s">
        <v>635</v>
      </c>
      <c r="D242" s="3" t="s">
        <v>58</v>
      </c>
      <c r="E242" s="3" t="s">
        <v>14</v>
      </c>
    </row>
    <row r="243" spans="1:5" x14ac:dyDescent="0.3">
      <c r="A243" t="s">
        <v>636</v>
      </c>
      <c r="B243" t="s">
        <v>637</v>
      </c>
      <c r="C243" t="s">
        <v>638</v>
      </c>
      <c r="D243" s="3" t="s">
        <v>75</v>
      </c>
      <c r="E243" s="3" t="s">
        <v>48</v>
      </c>
    </row>
    <row r="244" spans="1:5" x14ac:dyDescent="0.3">
      <c r="A244" t="s">
        <v>639</v>
      </c>
      <c r="B244" t="s">
        <v>640</v>
      </c>
      <c r="C244" t="s">
        <v>641</v>
      </c>
      <c r="D244" s="3" t="s">
        <v>642</v>
      </c>
      <c r="E244" s="3" t="s">
        <v>247</v>
      </c>
    </row>
    <row r="245" spans="1:5" x14ac:dyDescent="0.3">
      <c r="A245" t="s">
        <v>643</v>
      </c>
      <c r="B245" t="s">
        <v>640</v>
      </c>
      <c r="C245" t="s">
        <v>641</v>
      </c>
      <c r="D245" s="3" t="s">
        <v>642</v>
      </c>
      <c r="E245" s="3" t="s">
        <v>247</v>
      </c>
    </row>
    <row r="246" spans="1:5" x14ac:dyDescent="0.3">
      <c r="A246" t="s">
        <v>644</v>
      </c>
      <c r="B246" t="s">
        <v>645</v>
      </c>
      <c r="C246" t="s">
        <v>646</v>
      </c>
      <c r="D246" s="3" t="s">
        <v>8</v>
      </c>
      <c r="E246" s="3" t="s">
        <v>9</v>
      </c>
    </row>
    <row r="247" spans="1:5" x14ac:dyDescent="0.3">
      <c r="A247" t="s">
        <v>647</v>
      </c>
      <c r="B247" t="s">
        <v>648</v>
      </c>
      <c r="C247" t="s">
        <v>649</v>
      </c>
      <c r="D247" s="3" t="s">
        <v>129</v>
      </c>
      <c r="E247" s="3" t="s">
        <v>48</v>
      </c>
    </row>
    <row r="248" spans="1:5" x14ac:dyDescent="0.3">
      <c r="A248" t="s">
        <v>650</v>
      </c>
      <c r="B248" t="s">
        <v>651</v>
      </c>
      <c r="C248" t="s">
        <v>652</v>
      </c>
      <c r="D248" s="3" t="s">
        <v>58</v>
      </c>
      <c r="E248" s="3" t="s">
        <v>14</v>
      </c>
    </row>
    <row r="249" spans="1:5" x14ac:dyDescent="0.3">
      <c r="A249" t="s">
        <v>653</v>
      </c>
      <c r="B249" t="s">
        <v>654</v>
      </c>
      <c r="C249" t="s">
        <v>655</v>
      </c>
      <c r="D249" s="3" t="s">
        <v>656</v>
      </c>
      <c r="E249" s="3" t="s">
        <v>28</v>
      </c>
    </row>
    <row r="250" spans="1:5" x14ac:dyDescent="0.3">
      <c r="A250" t="s">
        <v>657</v>
      </c>
      <c r="B250" t="s">
        <v>658</v>
      </c>
      <c r="C250" t="s">
        <v>659</v>
      </c>
      <c r="D250" s="3" t="s">
        <v>58</v>
      </c>
      <c r="E250" s="3" t="s">
        <v>14</v>
      </c>
    </row>
    <row r="251" spans="1:5" x14ac:dyDescent="0.3">
      <c r="A251" t="s">
        <v>660</v>
      </c>
      <c r="B251" t="s">
        <v>661</v>
      </c>
      <c r="C251" t="s">
        <v>662</v>
      </c>
      <c r="D251" s="3" t="s">
        <v>663</v>
      </c>
      <c r="E251" s="3" t="s">
        <v>48</v>
      </c>
    </row>
    <row r="252" spans="1:5" x14ac:dyDescent="0.3">
      <c r="A252" t="s">
        <v>664</v>
      </c>
      <c r="B252" t="s">
        <v>661</v>
      </c>
      <c r="C252" t="s">
        <v>662</v>
      </c>
      <c r="D252" s="3" t="s">
        <v>663</v>
      </c>
      <c r="E252" s="3" t="s">
        <v>48</v>
      </c>
    </row>
    <row r="253" spans="1:5" x14ac:dyDescent="0.3">
      <c r="A253" t="s">
        <v>665</v>
      </c>
      <c r="B253" t="s">
        <v>666</v>
      </c>
      <c r="C253" t="s">
        <v>667</v>
      </c>
      <c r="D253" s="3" t="s">
        <v>668</v>
      </c>
      <c r="E253" s="3" t="s">
        <v>48</v>
      </c>
    </row>
    <row r="254" spans="1:5" x14ac:dyDescent="0.3">
      <c r="A254" t="s">
        <v>669</v>
      </c>
      <c r="B254" t="s">
        <v>670</v>
      </c>
      <c r="C254" t="s">
        <v>671</v>
      </c>
      <c r="D254" s="3" t="s">
        <v>200</v>
      </c>
      <c r="E254" s="3" t="s">
        <v>9</v>
      </c>
    </row>
    <row r="255" spans="1:5" x14ac:dyDescent="0.3">
      <c r="A255" t="s">
        <v>672</v>
      </c>
      <c r="B255" t="s">
        <v>673</v>
      </c>
      <c r="C255" t="s">
        <v>674</v>
      </c>
      <c r="D255" s="3" t="s">
        <v>222</v>
      </c>
      <c r="E255" s="3" t="s">
        <v>223</v>
      </c>
    </row>
    <row r="256" spans="1:5" x14ac:dyDescent="0.3">
      <c r="A256" t="s">
        <v>675</v>
      </c>
      <c r="B256" t="s">
        <v>676</v>
      </c>
      <c r="C256" t="s">
        <v>677</v>
      </c>
      <c r="D256" s="3" t="s">
        <v>58</v>
      </c>
      <c r="E256" s="3" t="s">
        <v>14</v>
      </c>
    </row>
    <row r="257" spans="1:5" x14ac:dyDescent="0.3">
      <c r="A257" t="s">
        <v>678</v>
      </c>
      <c r="B257" t="s">
        <v>676</v>
      </c>
      <c r="C257" t="s">
        <v>677</v>
      </c>
      <c r="D257" s="3" t="s">
        <v>58</v>
      </c>
      <c r="E257" s="3" t="s">
        <v>14</v>
      </c>
    </row>
    <row r="258" spans="1:5" x14ac:dyDescent="0.3">
      <c r="A258" t="s">
        <v>679</v>
      </c>
      <c r="B258" t="s">
        <v>676</v>
      </c>
      <c r="C258" t="s">
        <v>677</v>
      </c>
      <c r="D258" s="3" t="s">
        <v>58</v>
      </c>
      <c r="E258" s="3" t="s">
        <v>14</v>
      </c>
    </row>
    <row r="259" spans="1:5" x14ac:dyDescent="0.3">
      <c r="A259" t="s">
        <v>680</v>
      </c>
      <c r="B259" t="s">
        <v>681</v>
      </c>
      <c r="C259" t="s">
        <v>682</v>
      </c>
      <c r="D259" s="3" t="s">
        <v>27</v>
      </c>
      <c r="E259" s="3" t="s">
        <v>28</v>
      </c>
    </row>
    <row r="260" spans="1:5" x14ac:dyDescent="0.3">
      <c r="A260" t="s">
        <v>683</v>
      </c>
      <c r="B260" t="s">
        <v>681</v>
      </c>
      <c r="C260" t="s">
        <v>682</v>
      </c>
      <c r="D260" s="3" t="s">
        <v>27</v>
      </c>
      <c r="E260" s="3" t="s">
        <v>28</v>
      </c>
    </row>
    <row r="261" spans="1:5" x14ac:dyDescent="0.3">
      <c r="A261" t="s">
        <v>684</v>
      </c>
      <c r="B261" t="s">
        <v>685</v>
      </c>
      <c r="D261" s="3"/>
      <c r="E261" s="3"/>
    </row>
    <row r="262" spans="1:5" x14ac:dyDescent="0.3">
      <c r="A262" t="s">
        <v>686</v>
      </c>
      <c r="B262" t="s">
        <v>687</v>
      </c>
      <c r="C262" t="s">
        <v>688</v>
      </c>
      <c r="D262" s="3" t="s">
        <v>689</v>
      </c>
      <c r="E262" s="3" t="s">
        <v>14</v>
      </c>
    </row>
    <row r="263" spans="1:5" x14ac:dyDescent="0.3">
      <c r="A263" t="s">
        <v>690</v>
      </c>
      <c r="B263" t="s">
        <v>691</v>
      </c>
      <c r="C263" t="s">
        <v>692</v>
      </c>
      <c r="D263" s="3" t="s">
        <v>32</v>
      </c>
      <c r="E263" s="3" t="s">
        <v>33</v>
      </c>
    </row>
    <row r="264" spans="1:5" x14ac:dyDescent="0.3">
      <c r="A264" t="s">
        <v>693</v>
      </c>
      <c r="B264" t="s">
        <v>691</v>
      </c>
      <c r="C264" t="s">
        <v>692</v>
      </c>
      <c r="D264" s="3" t="s">
        <v>32</v>
      </c>
      <c r="E264" s="3" t="s">
        <v>33</v>
      </c>
    </row>
    <row r="265" spans="1:5" x14ac:dyDescent="0.3">
      <c r="A265" t="s">
        <v>694</v>
      </c>
      <c r="B265" t="s">
        <v>695</v>
      </c>
      <c r="C265" t="s">
        <v>696</v>
      </c>
      <c r="D265" s="3" t="s">
        <v>105</v>
      </c>
      <c r="E265" s="3" t="s">
        <v>14</v>
      </c>
    </row>
    <row r="266" spans="1:5" x14ac:dyDescent="0.3">
      <c r="A266" t="s">
        <v>697</v>
      </c>
      <c r="B266" t="s">
        <v>695</v>
      </c>
      <c r="C266" t="s">
        <v>696</v>
      </c>
      <c r="D266" s="3" t="s">
        <v>105</v>
      </c>
      <c r="E266" s="3" t="s">
        <v>14</v>
      </c>
    </row>
    <row r="267" spans="1:5" x14ac:dyDescent="0.3">
      <c r="A267" t="s">
        <v>698</v>
      </c>
      <c r="B267" t="s">
        <v>699</v>
      </c>
      <c r="C267" t="s">
        <v>700</v>
      </c>
      <c r="D267" s="3" t="s">
        <v>13</v>
      </c>
      <c r="E267" s="3" t="s">
        <v>14</v>
      </c>
    </row>
    <row r="268" spans="1:5" x14ac:dyDescent="0.3">
      <c r="A268" t="s">
        <v>701</v>
      </c>
      <c r="B268" t="s">
        <v>699</v>
      </c>
      <c r="C268" t="s">
        <v>700</v>
      </c>
      <c r="D268" s="3" t="s">
        <v>13</v>
      </c>
      <c r="E268" s="3" t="s">
        <v>14</v>
      </c>
    </row>
    <row r="269" spans="1:5" x14ac:dyDescent="0.3">
      <c r="A269" t="s">
        <v>702</v>
      </c>
      <c r="B269" t="s">
        <v>703</v>
      </c>
      <c r="C269" t="s">
        <v>704</v>
      </c>
      <c r="D269" s="3" t="s">
        <v>705</v>
      </c>
      <c r="E269" s="3" t="s">
        <v>19</v>
      </c>
    </row>
    <row r="270" spans="1:5" x14ac:dyDescent="0.3">
      <c r="A270" t="s">
        <v>706</v>
      </c>
      <c r="B270" t="s">
        <v>707</v>
      </c>
      <c r="C270" t="s">
        <v>708</v>
      </c>
      <c r="D270" s="3" t="s">
        <v>129</v>
      </c>
      <c r="E270" s="3" t="s">
        <v>48</v>
      </c>
    </row>
    <row r="271" spans="1:5" x14ac:dyDescent="0.3">
      <c r="A271" t="s">
        <v>709</v>
      </c>
      <c r="B271" t="s">
        <v>710</v>
      </c>
      <c r="C271" t="s">
        <v>711</v>
      </c>
      <c r="D271" s="3" t="s">
        <v>129</v>
      </c>
      <c r="E271" s="3" t="s">
        <v>48</v>
      </c>
    </row>
    <row r="272" spans="1:5" x14ac:dyDescent="0.3">
      <c r="A272" t="s">
        <v>712</v>
      </c>
      <c r="B272" t="s">
        <v>713</v>
      </c>
      <c r="C272" t="s">
        <v>714</v>
      </c>
      <c r="D272" s="3" t="s">
        <v>299</v>
      </c>
      <c r="E272" s="3" t="s">
        <v>19</v>
      </c>
    </row>
    <row r="273" spans="1:5" x14ac:dyDescent="0.3">
      <c r="A273" t="s">
        <v>715</v>
      </c>
      <c r="B273" t="s">
        <v>713</v>
      </c>
      <c r="C273" t="s">
        <v>714</v>
      </c>
      <c r="D273" s="3" t="s">
        <v>299</v>
      </c>
      <c r="E273" s="3" t="s">
        <v>19</v>
      </c>
    </row>
    <row r="274" spans="1:5" x14ac:dyDescent="0.3">
      <c r="A274" t="s">
        <v>716</v>
      </c>
      <c r="B274" t="s">
        <v>717</v>
      </c>
      <c r="C274" t="s">
        <v>718</v>
      </c>
      <c r="D274" s="3" t="s">
        <v>719</v>
      </c>
      <c r="E274" s="3" t="s">
        <v>28</v>
      </c>
    </row>
    <row r="275" spans="1:5" x14ac:dyDescent="0.3">
      <c r="A275" t="s">
        <v>720</v>
      </c>
      <c r="B275" t="s">
        <v>721</v>
      </c>
      <c r="C275" t="s">
        <v>722</v>
      </c>
      <c r="D275" s="3" t="s">
        <v>27</v>
      </c>
      <c r="E275" s="3" t="s">
        <v>28</v>
      </c>
    </row>
    <row r="276" spans="1:5" x14ac:dyDescent="0.3">
      <c r="A276" t="s">
        <v>723</v>
      </c>
      <c r="B276" t="s">
        <v>724</v>
      </c>
      <c r="C276" t="s">
        <v>725</v>
      </c>
      <c r="D276" s="3" t="s">
        <v>726</v>
      </c>
      <c r="E276" s="3" t="s">
        <v>247</v>
      </c>
    </row>
    <row r="277" spans="1:5" x14ac:dyDescent="0.3">
      <c r="A277" t="s">
        <v>727</v>
      </c>
      <c r="B277" t="s">
        <v>724</v>
      </c>
      <c r="C277" t="s">
        <v>725</v>
      </c>
      <c r="D277" s="3" t="s">
        <v>726</v>
      </c>
      <c r="E277" s="3" t="s">
        <v>247</v>
      </c>
    </row>
    <row r="278" spans="1:5" x14ac:dyDescent="0.3">
      <c r="A278" t="s">
        <v>728</v>
      </c>
      <c r="B278" t="s">
        <v>724</v>
      </c>
      <c r="C278" t="s">
        <v>725</v>
      </c>
      <c r="D278" s="3" t="s">
        <v>726</v>
      </c>
      <c r="E278" s="3" t="s">
        <v>247</v>
      </c>
    </row>
    <row r="279" spans="1:5" x14ac:dyDescent="0.3">
      <c r="A279" t="s">
        <v>729</v>
      </c>
      <c r="B279" t="s">
        <v>730</v>
      </c>
      <c r="C279" t="s">
        <v>731</v>
      </c>
      <c r="D279" s="3" t="s">
        <v>8</v>
      </c>
      <c r="E279" s="3" t="s">
        <v>9</v>
      </c>
    </row>
    <row r="280" spans="1:5" x14ac:dyDescent="0.3">
      <c r="A280" t="s">
        <v>732</v>
      </c>
      <c r="B280" t="s">
        <v>733</v>
      </c>
      <c r="C280" t="s">
        <v>734</v>
      </c>
      <c r="D280" s="3" t="s">
        <v>40</v>
      </c>
      <c r="E280" s="3" t="s">
        <v>19</v>
      </c>
    </row>
    <row r="281" spans="1:5" x14ac:dyDescent="0.3">
      <c r="A281" t="s">
        <v>735</v>
      </c>
      <c r="B281" t="s">
        <v>736</v>
      </c>
      <c r="C281" t="s">
        <v>737</v>
      </c>
      <c r="D281" s="3" t="s">
        <v>129</v>
      </c>
      <c r="E281" s="3" t="s">
        <v>48</v>
      </c>
    </row>
    <row r="282" spans="1:5" x14ac:dyDescent="0.3">
      <c r="A282" t="s">
        <v>738</v>
      </c>
      <c r="B282" t="s">
        <v>739</v>
      </c>
      <c r="C282" t="s">
        <v>740</v>
      </c>
      <c r="D282" s="3" t="s">
        <v>87</v>
      </c>
      <c r="E282" s="3" t="s">
        <v>48</v>
      </c>
    </row>
    <row r="283" spans="1:5" x14ac:dyDescent="0.3">
      <c r="A283" t="s">
        <v>741</v>
      </c>
      <c r="B283" t="s">
        <v>742</v>
      </c>
      <c r="C283" t="s">
        <v>743</v>
      </c>
      <c r="D283" s="3" t="s">
        <v>32</v>
      </c>
      <c r="E283" s="3" t="s">
        <v>33</v>
      </c>
    </row>
    <row r="284" spans="1:5" x14ac:dyDescent="0.3">
      <c r="A284" t="s">
        <v>744</v>
      </c>
      <c r="B284" t="s">
        <v>745</v>
      </c>
      <c r="C284" t="s">
        <v>746</v>
      </c>
      <c r="D284" s="3" t="s">
        <v>32</v>
      </c>
      <c r="E284" s="3" t="s">
        <v>33</v>
      </c>
    </row>
    <row r="285" spans="1:5" x14ac:dyDescent="0.3">
      <c r="A285" t="s">
        <v>747</v>
      </c>
      <c r="B285" t="s">
        <v>748</v>
      </c>
      <c r="C285" t="s">
        <v>749</v>
      </c>
      <c r="D285" s="3" t="s">
        <v>83</v>
      </c>
      <c r="E285" s="3" t="s">
        <v>48</v>
      </c>
    </row>
    <row r="286" spans="1:5" x14ac:dyDescent="0.3">
      <c r="A286" t="s">
        <v>750</v>
      </c>
      <c r="B286" t="s">
        <v>751</v>
      </c>
      <c r="C286" t="s">
        <v>752</v>
      </c>
      <c r="D286" s="3" t="s">
        <v>58</v>
      </c>
      <c r="E286" s="3" t="s">
        <v>14</v>
      </c>
    </row>
    <row r="287" spans="1:5" x14ac:dyDescent="0.3">
      <c r="A287" t="s">
        <v>753</v>
      </c>
      <c r="B287" t="s">
        <v>754</v>
      </c>
      <c r="C287" t="s">
        <v>755</v>
      </c>
      <c r="D287" s="3" t="s">
        <v>656</v>
      </c>
      <c r="E287" s="3" t="s">
        <v>28</v>
      </c>
    </row>
    <row r="288" spans="1:5" x14ac:dyDescent="0.3">
      <c r="A288" t="s">
        <v>756</v>
      </c>
      <c r="B288" t="s">
        <v>757</v>
      </c>
      <c r="C288" t="s">
        <v>758</v>
      </c>
      <c r="D288" s="3" t="s">
        <v>759</v>
      </c>
      <c r="E288" s="3" t="s">
        <v>14</v>
      </c>
    </row>
    <row r="289" spans="1:5" x14ac:dyDescent="0.3">
      <c r="A289" t="s">
        <v>760</v>
      </c>
      <c r="B289" t="s">
        <v>761</v>
      </c>
      <c r="C289" t="s">
        <v>762</v>
      </c>
      <c r="D289" s="3" t="s">
        <v>75</v>
      </c>
      <c r="E289" s="3" t="s">
        <v>48</v>
      </c>
    </row>
    <row r="290" spans="1:5" x14ac:dyDescent="0.3">
      <c r="A290" t="s">
        <v>763</v>
      </c>
      <c r="B290" t="s">
        <v>764</v>
      </c>
      <c r="C290" t="s">
        <v>765</v>
      </c>
      <c r="D290" s="3" t="s">
        <v>766</v>
      </c>
      <c r="E290" s="3" t="s">
        <v>144</v>
      </c>
    </row>
    <row r="291" spans="1:5" x14ac:dyDescent="0.3">
      <c r="A291" t="s">
        <v>767</v>
      </c>
      <c r="B291" t="s">
        <v>768</v>
      </c>
      <c r="C291" t="s">
        <v>769</v>
      </c>
      <c r="D291" s="3" t="s">
        <v>656</v>
      </c>
      <c r="E291" s="3" t="s">
        <v>28</v>
      </c>
    </row>
    <row r="292" spans="1:5" x14ac:dyDescent="0.3">
      <c r="A292" t="s">
        <v>770</v>
      </c>
      <c r="B292" t="s">
        <v>768</v>
      </c>
      <c r="C292" t="s">
        <v>769</v>
      </c>
      <c r="D292" s="3" t="s">
        <v>656</v>
      </c>
      <c r="E292" s="3" t="s">
        <v>28</v>
      </c>
    </row>
    <row r="293" spans="1:5" x14ac:dyDescent="0.3">
      <c r="A293" t="s">
        <v>771</v>
      </c>
      <c r="B293" t="s">
        <v>772</v>
      </c>
      <c r="C293" t="s">
        <v>773</v>
      </c>
      <c r="D293" s="3" t="s">
        <v>222</v>
      </c>
      <c r="E293" s="3" t="s">
        <v>223</v>
      </c>
    </row>
    <row r="294" spans="1:5" x14ac:dyDescent="0.3">
      <c r="A294" t="s">
        <v>774</v>
      </c>
      <c r="B294" t="s">
        <v>775</v>
      </c>
      <c r="C294" t="s">
        <v>776</v>
      </c>
      <c r="D294" s="3" t="s">
        <v>222</v>
      </c>
      <c r="E294" s="3" t="s">
        <v>223</v>
      </c>
    </row>
    <row r="295" spans="1:5" x14ac:dyDescent="0.3">
      <c r="A295" t="s">
        <v>777</v>
      </c>
      <c r="B295" t="s">
        <v>778</v>
      </c>
      <c r="C295" t="s">
        <v>779</v>
      </c>
      <c r="D295" s="3" t="s">
        <v>122</v>
      </c>
      <c r="E295" s="3" t="s">
        <v>122</v>
      </c>
    </row>
    <row r="296" spans="1:5" x14ac:dyDescent="0.3">
      <c r="A296" t="s">
        <v>780</v>
      </c>
      <c r="B296" t="s">
        <v>778</v>
      </c>
      <c r="C296" t="s">
        <v>779</v>
      </c>
      <c r="D296" s="3" t="s">
        <v>122</v>
      </c>
      <c r="E296" s="3" t="s">
        <v>122</v>
      </c>
    </row>
    <row r="297" spans="1:5" x14ac:dyDescent="0.3">
      <c r="A297" t="s">
        <v>781</v>
      </c>
      <c r="B297" t="s">
        <v>782</v>
      </c>
      <c r="C297" t="s">
        <v>783</v>
      </c>
      <c r="D297" s="3" t="s">
        <v>8</v>
      </c>
      <c r="E297" s="3" t="s">
        <v>9</v>
      </c>
    </row>
    <row r="298" spans="1:5" x14ac:dyDescent="0.3">
      <c r="A298" t="s">
        <v>784</v>
      </c>
      <c r="B298" t="s">
        <v>785</v>
      </c>
      <c r="C298" t="s">
        <v>786</v>
      </c>
      <c r="D298" s="3" t="s">
        <v>787</v>
      </c>
      <c r="E298" s="3" t="s">
        <v>48</v>
      </c>
    </row>
    <row r="299" spans="1:5" x14ac:dyDescent="0.3">
      <c r="A299" t="s">
        <v>788</v>
      </c>
      <c r="B299" t="s">
        <v>789</v>
      </c>
      <c r="C299" t="s">
        <v>790</v>
      </c>
      <c r="D299" s="3" t="s">
        <v>163</v>
      </c>
      <c r="E299" s="3" t="s">
        <v>19</v>
      </c>
    </row>
    <row r="300" spans="1:5" x14ac:dyDescent="0.3">
      <c r="A300" t="s">
        <v>791</v>
      </c>
      <c r="B300" t="s">
        <v>792</v>
      </c>
      <c r="C300" t="s">
        <v>793</v>
      </c>
      <c r="D300" s="3" t="s">
        <v>299</v>
      </c>
      <c r="E300" s="3" t="s">
        <v>19</v>
      </c>
    </row>
    <row r="301" spans="1:5" x14ac:dyDescent="0.3">
      <c r="A301" t="s">
        <v>794</v>
      </c>
      <c r="B301" t="s">
        <v>795</v>
      </c>
      <c r="C301" t="s">
        <v>796</v>
      </c>
      <c r="D301" s="3" t="s">
        <v>129</v>
      </c>
      <c r="E301" s="3" t="s">
        <v>48</v>
      </c>
    </row>
    <row r="302" spans="1:5" x14ac:dyDescent="0.3">
      <c r="A302" t="s">
        <v>797</v>
      </c>
      <c r="B302" t="s">
        <v>798</v>
      </c>
      <c r="C302" t="s">
        <v>799</v>
      </c>
      <c r="D302" s="3" t="s">
        <v>800</v>
      </c>
      <c r="E302" s="3" t="s">
        <v>48</v>
      </c>
    </row>
    <row r="303" spans="1:5" x14ac:dyDescent="0.3">
      <c r="A303" t="s">
        <v>801</v>
      </c>
      <c r="B303" t="s">
        <v>802</v>
      </c>
      <c r="C303" t="s">
        <v>803</v>
      </c>
      <c r="D303" s="3" t="s">
        <v>129</v>
      </c>
      <c r="E303" s="3" t="s">
        <v>48</v>
      </c>
    </row>
    <row r="304" spans="1:5" x14ac:dyDescent="0.3">
      <c r="A304" t="s">
        <v>804</v>
      </c>
      <c r="B304" t="s">
        <v>805</v>
      </c>
      <c r="C304" t="s">
        <v>806</v>
      </c>
      <c r="D304" s="3" t="s">
        <v>397</v>
      </c>
      <c r="E304" s="3" t="s">
        <v>14</v>
      </c>
    </row>
    <row r="305" spans="1:5" x14ac:dyDescent="0.3">
      <c r="A305" t="s">
        <v>807</v>
      </c>
      <c r="B305" t="s">
        <v>805</v>
      </c>
      <c r="C305" t="s">
        <v>806</v>
      </c>
      <c r="D305" s="3" t="s">
        <v>397</v>
      </c>
      <c r="E305" s="3" t="s">
        <v>14</v>
      </c>
    </row>
    <row r="306" spans="1:5" x14ac:dyDescent="0.3">
      <c r="A306" t="s">
        <v>808</v>
      </c>
      <c r="B306" t="s">
        <v>809</v>
      </c>
      <c r="C306" t="s">
        <v>810</v>
      </c>
      <c r="D306" s="3" t="s">
        <v>642</v>
      </c>
      <c r="E306" s="3" t="s">
        <v>247</v>
      </c>
    </row>
    <row r="307" spans="1:5" x14ac:dyDescent="0.3">
      <c r="A307" t="s">
        <v>811</v>
      </c>
      <c r="B307" t="s">
        <v>809</v>
      </c>
      <c r="C307" t="s">
        <v>810</v>
      </c>
      <c r="D307" s="3" t="s">
        <v>642</v>
      </c>
      <c r="E307" s="3" t="s">
        <v>247</v>
      </c>
    </row>
    <row r="308" spans="1:5" x14ac:dyDescent="0.3">
      <c r="A308" t="s">
        <v>812</v>
      </c>
      <c r="B308" t="s">
        <v>813</v>
      </c>
      <c r="C308" t="s">
        <v>814</v>
      </c>
      <c r="D308" s="3" t="s">
        <v>54</v>
      </c>
      <c r="E308" s="3" t="s">
        <v>48</v>
      </c>
    </row>
    <row r="309" spans="1:5" x14ac:dyDescent="0.3">
      <c r="A309" t="s">
        <v>815</v>
      </c>
      <c r="B309" t="s">
        <v>816</v>
      </c>
      <c r="C309" t="s">
        <v>817</v>
      </c>
      <c r="D309" s="3" t="s">
        <v>23</v>
      </c>
      <c r="E309" s="3" t="s">
        <v>28</v>
      </c>
    </row>
    <row r="310" spans="1:5" x14ac:dyDescent="0.3">
      <c r="A310" t="s">
        <v>818</v>
      </c>
      <c r="B310" t="s">
        <v>819</v>
      </c>
      <c r="C310" t="s">
        <v>820</v>
      </c>
      <c r="D310" s="3" t="s">
        <v>821</v>
      </c>
      <c r="E310" s="3" t="s">
        <v>223</v>
      </c>
    </row>
    <row r="311" spans="1:5" x14ac:dyDescent="0.3">
      <c r="A311" t="s">
        <v>822</v>
      </c>
      <c r="B311" t="s">
        <v>823</v>
      </c>
      <c r="C311" t="s">
        <v>824</v>
      </c>
      <c r="D311" s="3" t="s">
        <v>825</v>
      </c>
      <c r="E311" s="3" t="s">
        <v>28</v>
      </c>
    </row>
    <row r="312" spans="1:5" x14ac:dyDescent="0.3">
      <c r="A312" t="s">
        <v>826</v>
      </c>
      <c r="B312" t="s">
        <v>823</v>
      </c>
      <c r="C312" t="s">
        <v>824</v>
      </c>
      <c r="D312" s="3" t="s">
        <v>825</v>
      </c>
      <c r="E312" s="3" t="s">
        <v>28</v>
      </c>
    </row>
    <row r="313" spans="1:5" x14ac:dyDescent="0.3">
      <c r="A313" t="s">
        <v>827</v>
      </c>
      <c r="B313" t="s">
        <v>828</v>
      </c>
      <c r="C313" t="s">
        <v>829</v>
      </c>
      <c r="D313" s="3" t="s">
        <v>830</v>
      </c>
      <c r="E313" s="3" t="s">
        <v>48</v>
      </c>
    </row>
    <row r="314" spans="1:5" x14ac:dyDescent="0.3">
      <c r="A314" t="s">
        <v>831</v>
      </c>
      <c r="B314" t="s">
        <v>832</v>
      </c>
      <c r="C314" t="s">
        <v>833</v>
      </c>
      <c r="D314" s="3" t="s">
        <v>163</v>
      </c>
      <c r="E314" s="3" t="s">
        <v>19</v>
      </c>
    </row>
    <row r="315" spans="1:5" x14ac:dyDescent="0.3">
      <c r="A315" t="s">
        <v>834</v>
      </c>
      <c r="B315" t="s">
        <v>835</v>
      </c>
      <c r="C315" t="s">
        <v>836</v>
      </c>
      <c r="D315" s="3" t="s">
        <v>105</v>
      </c>
      <c r="E315" s="3" t="s">
        <v>14</v>
      </c>
    </row>
    <row r="316" spans="1:5" x14ac:dyDescent="0.3">
      <c r="A316" t="s">
        <v>837</v>
      </c>
      <c r="B316" t="s">
        <v>314</v>
      </c>
      <c r="C316" t="s">
        <v>315</v>
      </c>
      <c r="D316" s="3" t="s">
        <v>316</v>
      </c>
      <c r="E316" s="3" t="s">
        <v>28</v>
      </c>
    </row>
    <row r="317" spans="1:5" x14ac:dyDescent="0.3">
      <c r="A317" t="s">
        <v>838</v>
      </c>
      <c r="B317" t="s">
        <v>839</v>
      </c>
      <c r="C317" t="s">
        <v>840</v>
      </c>
      <c r="D317" s="3" t="s">
        <v>841</v>
      </c>
      <c r="E317" s="3" t="s">
        <v>48</v>
      </c>
    </row>
    <row r="318" spans="1:5" x14ac:dyDescent="0.3">
      <c r="A318" t="s">
        <v>842</v>
      </c>
      <c r="B318" t="s">
        <v>789</v>
      </c>
      <c r="C318" t="s">
        <v>790</v>
      </c>
      <c r="D318" s="3" t="s">
        <v>163</v>
      </c>
      <c r="E318" s="3" t="s">
        <v>19</v>
      </c>
    </row>
    <row r="319" spans="1:5" x14ac:dyDescent="0.3">
      <c r="A319" t="s">
        <v>843</v>
      </c>
      <c r="B319" t="s">
        <v>844</v>
      </c>
      <c r="C319" t="s">
        <v>845</v>
      </c>
      <c r="D319" s="3" t="s">
        <v>129</v>
      </c>
      <c r="E319" s="3" t="s">
        <v>48</v>
      </c>
    </row>
    <row r="320" spans="1:5" x14ac:dyDescent="0.3">
      <c r="A320" t="s">
        <v>846</v>
      </c>
      <c r="B320" t="s">
        <v>847</v>
      </c>
      <c r="C320" t="s">
        <v>848</v>
      </c>
      <c r="D320" s="3" t="s">
        <v>726</v>
      </c>
      <c r="E320" s="3" t="s">
        <v>247</v>
      </c>
    </row>
    <row r="321" spans="1:5" x14ac:dyDescent="0.3">
      <c r="A321" t="s">
        <v>849</v>
      </c>
      <c r="B321" t="s">
        <v>847</v>
      </c>
      <c r="C321" t="s">
        <v>848</v>
      </c>
      <c r="D321" s="3" t="s">
        <v>726</v>
      </c>
      <c r="E321" s="3" t="s">
        <v>247</v>
      </c>
    </row>
    <row r="322" spans="1:5" x14ac:dyDescent="0.3">
      <c r="A322" t="s">
        <v>850</v>
      </c>
      <c r="B322" t="s">
        <v>851</v>
      </c>
      <c r="C322" t="s">
        <v>852</v>
      </c>
      <c r="D322" s="3" t="s">
        <v>129</v>
      </c>
      <c r="E322" s="3" t="s">
        <v>48</v>
      </c>
    </row>
    <row r="323" spans="1:5" x14ac:dyDescent="0.3">
      <c r="A323" t="s">
        <v>853</v>
      </c>
      <c r="B323" t="s">
        <v>854</v>
      </c>
      <c r="C323" t="s">
        <v>855</v>
      </c>
      <c r="D323" s="3" t="s">
        <v>856</v>
      </c>
      <c r="E323" s="3" t="s">
        <v>28</v>
      </c>
    </row>
    <row r="324" spans="1:5" x14ac:dyDescent="0.3">
      <c r="A324" t="s">
        <v>857</v>
      </c>
      <c r="B324" t="s">
        <v>854</v>
      </c>
      <c r="C324" t="s">
        <v>855</v>
      </c>
      <c r="D324" s="3" t="s">
        <v>856</v>
      </c>
      <c r="E324" s="3" t="s">
        <v>28</v>
      </c>
    </row>
    <row r="325" spans="1:5" x14ac:dyDescent="0.3">
      <c r="A325" t="s">
        <v>858</v>
      </c>
      <c r="B325" t="s">
        <v>859</v>
      </c>
      <c r="C325" t="s">
        <v>860</v>
      </c>
      <c r="D325" s="3" t="s">
        <v>58</v>
      </c>
      <c r="E325" s="3" t="s">
        <v>14</v>
      </c>
    </row>
    <row r="326" spans="1:5" x14ac:dyDescent="0.3">
      <c r="A326" t="s">
        <v>861</v>
      </c>
      <c r="B326" t="s">
        <v>862</v>
      </c>
      <c r="C326" t="s">
        <v>863</v>
      </c>
      <c r="D326" s="3" t="s">
        <v>594</v>
      </c>
      <c r="E326" s="3" t="s">
        <v>28</v>
      </c>
    </row>
    <row r="327" spans="1:5" x14ac:dyDescent="0.3">
      <c r="A327" t="s">
        <v>864</v>
      </c>
      <c r="B327" t="s">
        <v>862</v>
      </c>
      <c r="C327" t="s">
        <v>863</v>
      </c>
      <c r="D327" s="3" t="s">
        <v>594</v>
      </c>
      <c r="E327" s="3" t="s">
        <v>28</v>
      </c>
    </row>
    <row r="328" spans="1:5" x14ac:dyDescent="0.3">
      <c r="A328" t="s">
        <v>865</v>
      </c>
      <c r="B328" t="s">
        <v>866</v>
      </c>
      <c r="C328" t="s">
        <v>867</v>
      </c>
      <c r="D328" s="3" t="s">
        <v>87</v>
      </c>
      <c r="E328" s="3" t="s">
        <v>48</v>
      </c>
    </row>
    <row r="329" spans="1:5" x14ac:dyDescent="0.3">
      <c r="A329" t="s">
        <v>868</v>
      </c>
      <c r="B329" t="s">
        <v>869</v>
      </c>
      <c r="C329" t="s">
        <v>870</v>
      </c>
      <c r="D329" s="3" t="s">
        <v>548</v>
      </c>
      <c r="E329" s="3" t="s">
        <v>19</v>
      </c>
    </row>
    <row r="330" spans="1:5" x14ac:dyDescent="0.3">
      <c r="A330" t="s">
        <v>871</v>
      </c>
      <c r="B330" t="s">
        <v>872</v>
      </c>
      <c r="C330" t="s">
        <v>873</v>
      </c>
      <c r="D330" s="3" t="s">
        <v>32</v>
      </c>
      <c r="E330" s="3" t="s">
        <v>33</v>
      </c>
    </row>
    <row r="331" spans="1:5" x14ac:dyDescent="0.3">
      <c r="A331" t="s">
        <v>874</v>
      </c>
      <c r="B331" t="s">
        <v>875</v>
      </c>
      <c r="C331" t="s">
        <v>876</v>
      </c>
      <c r="D331" s="3" t="s">
        <v>759</v>
      </c>
      <c r="E331" s="3" t="s">
        <v>14</v>
      </c>
    </row>
    <row r="332" spans="1:5" x14ac:dyDescent="0.3">
      <c r="A332" t="s">
        <v>877</v>
      </c>
      <c r="B332" t="s">
        <v>878</v>
      </c>
      <c r="C332" t="s">
        <v>879</v>
      </c>
      <c r="D332" s="3" t="s">
        <v>222</v>
      </c>
      <c r="E332" s="3" t="s">
        <v>223</v>
      </c>
    </row>
    <row r="333" spans="1:5" x14ac:dyDescent="0.3">
      <c r="A333" t="s">
        <v>880</v>
      </c>
      <c r="B333" t="s">
        <v>881</v>
      </c>
      <c r="C333" t="s">
        <v>104</v>
      </c>
      <c r="D333" s="3" t="s">
        <v>222</v>
      </c>
      <c r="E333" s="3" t="s">
        <v>223</v>
      </c>
    </row>
    <row r="334" spans="1:5" x14ac:dyDescent="0.3">
      <c r="A334" t="s">
        <v>882</v>
      </c>
      <c r="B334" t="s">
        <v>883</v>
      </c>
      <c r="C334" t="s">
        <v>884</v>
      </c>
      <c r="D334" s="3" t="s">
        <v>58</v>
      </c>
      <c r="E334" s="3" t="s">
        <v>14</v>
      </c>
    </row>
    <row r="335" spans="1:5" x14ac:dyDescent="0.3">
      <c r="A335" t="s">
        <v>885</v>
      </c>
      <c r="B335" t="s">
        <v>886</v>
      </c>
      <c r="C335" t="s">
        <v>887</v>
      </c>
      <c r="D335" s="3" t="s">
        <v>548</v>
      </c>
      <c r="E335" s="3" t="s">
        <v>19</v>
      </c>
    </row>
    <row r="336" spans="1:5" x14ac:dyDescent="0.3">
      <c r="A336" t="s">
        <v>888</v>
      </c>
      <c r="B336" t="s">
        <v>889</v>
      </c>
      <c r="C336" t="s">
        <v>890</v>
      </c>
      <c r="D336" s="3" t="s">
        <v>575</v>
      </c>
      <c r="E336" s="3" t="s">
        <v>247</v>
      </c>
    </row>
    <row r="337" spans="1:5" x14ac:dyDescent="0.3">
      <c r="A337" t="s">
        <v>891</v>
      </c>
      <c r="B337" t="s">
        <v>892</v>
      </c>
      <c r="C337" t="s">
        <v>893</v>
      </c>
      <c r="D337" s="3" t="s">
        <v>91</v>
      </c>
      <c r="E337" s="3" t="s">
        <v>48</v>
      </c>
    </row>
    <row r="338" spans="1:5" x14ac:dyDescent="0.3">
      <c r="A338" t="s">
        <v>894</v>
      </c>
      <c r="B338" t="s">
        <v>895</v>
      </c>
      <c r="C338" t="s">
        <v>896</v>
      </c>
      <c r="D338" s="3" t="s">
        <v>299</v>
      </c>
      <c r="E338" s="3" t="s">
        <v>19</v>
      </c>
    </row>
    <row r="339" spans="1:5" x14ac:dyDescent="0.3">
      <c r="A339" t="s">
        <v>897</v>
      </c>
      <c r="B339" t="s">
        <v>898</v>
      </c>
      <c r="C339" t="s">
        <v>899</v>
      </c>
      <c r="D339" s="3" t="s">
        <v>8</v>
      </c>
      <c r="E339" s="3" t="s">
        <v>9</v>
      </c>
    </row>
    <row r="340" spans="1:5" x14ac:dyDescent="0.3">
      <c r="A340" t="s">
        <v>900</v>
      </c>
      <c r="B340" t="s">
        <v>901</v>
      </c>
      <c r="C340" t="s">
        <v>902</v>
      </c>
      <c r="D340" s="3" t="s">
        <v>200</v>
      </c>
      <c r="E340" s="3" t="s">
        <v>9</v>
      </c>
    </row>
    <row r="341" spans="1:5" x14ac:dyDescent="0.3">
      <c r="A341" t="s">
        <v>903</v>
      </c>
      <c r="B341" t="s">
        <v>904</v>
      </c>
      <c r="C341" t="s">
        <v>905</v>
      </c>
      <c r="D341" s="3" t="s">
        <v>266</v>
      </c>
      <c r="E341" s="3" t="s">
        <v>267</v>
      </c>
    </row>
    <row r="342" spans="1:5" x14ac:dyDescent="0.3">
      <c r="A342" t="s">
        <v>906</v>
      </c>
      <c r="B342" t="s">
        <v>904</v>
      </c>
      <c r="C342" t="s">
        <v>905</v>
      </c>
      <c r="D342" s="3" t="s">
        <v>266</v>
      </c>
      <c r="E342" s="3" t="s">
        <v>267</v>
      </c>
    </row>
    <row r="343" spans="1:5" x14ac:dyDescent="0.3">
      <c r="A343" t="s">
        <v>907</v>
      </c>
      <c r="B343" t="s">
        <v>908</v>
      </c>
      <c r="C343" t="s">
        <v>909</v>
      </c>
      <c r="D343" s="3" t="s">
        <v>8</v>
      </c>
      <c r="E343" s="3" t="s">
        <v>9</v>
      </c>
    </row>
    <row r="344" spans="1:5" x14ac:dyDescent="0.3">
      <c r="A344" t="s">
        <v>910</v>
      </c>
      <c r="B344" t="s">
        <v>911</v>
      </c>
      <c r="C344" t="s">
        <v>912</v>
      </c>
      <c r="D344" s="3" t="s">
        <v>766</v>
      </c>
      <c r="E344" s="3" t="s">
        <v>144</v>
      </c>
    </row>
    <row r="345" spans="1:5" x14ac:dyDescent="0.3">
      <c r="A345" t="s">
        <v>913</v>
      </c>
      <c r="B345" t="s">
        <v>914</v>
      </c>
      <c r="C345" t="s">
        <v>915</v>
      </c>
      <c r="D345" s="3" t="s">
        <v>79</v>
      </c>
      <c r="E345" s="3" t="s">
        <v>33</v>
      </c>
    </row>
    <row r="346" spans="1:5" x14ac:dyDescent="0.3">
      <c r="A346" t="s">
        <v>916</v>
      </c>
      <c r="B346" t="s">
        <v>917</v>
      </c>
      <c r="C346" t="s">
        <v>918</v>
      </c>
      <c r="D346" s="3" t="s">
        <v>766</v>
      </c>
      <c r="E346" s="3" t="s">
        <v>144</v>
      </c>
    </row>
    <row r="347" spans="1:5" x14ac:dyDescent="0.3">
      <c r="A347" t="s">
        <v>919</v>
      </c>
      <c r="B347" t="s">
        <v>920</v>
      </c>
      <c r="C347" t="s">
        <v>921</v>
      </c>
      <c r="D347" s="3" t="s">
        <v>642</v>
      </c>
      <c r="E347" s="3" t="s">
        <v>247</v>
      </c>
    </row>
    <row r="348" spans="1:5" x14ac:dyDescent="0.3">
      <c r="A348" t="s">
        <v>922</v>
      </c>
      <c r="B348" t="s">
        <v>920</v>
      </c>
      <c r="C348" t="s">
        <v>921</v>
      </c>
      <c r="D348" s="3" t="s">
        <v>642</v>
      </c>
      <c r="E348" s="3" t="s">
        <v>247</v>
      </c>
    </row>
    <row r="349" spans="1:5" x14ac:dyDescent="0.3">
      <c r="A349" t="s">
        <v>923</v>
      </c>
      <c r="B349" t="s">
        <v>924</v>
      </c>
      <c r="C349" t="s">
        <v>925</v>
      </c>
      <c r="D349" s="3" t="s">
        <v>112</v>
      </c>
      <c r="E349" s="3" t="s">
        <v>19</v>
      </c>
    </row>
    <row r="350" spans="1:5" x14ac:dyDescent="0.3">
      <c r="A350" t="s">
        <v>926</v>
      </c>
      <c r="B350" t="s">
        <v>927</v>
      </c>
      <c r="C350" t="s">
        <v>928</v>
      </c>
      <c r="D350" s="3" t="s">
        <v>129</v>
      </c>
      <c r="E350" s="3" t="s">
        <v>48</v>
      </c>
    </row>
    <row r="351" spans="1:5" x14ac:dyDescent="0.3">
      <c r="A351" t="s">
        <v>929</v>
      </c>
      <c r="B351" t="s">
        <v>930</v>
      </c>
      <c r="C351" t="s">
        <v>931</v>
      </c>
      <c r="D351" s="3" t="s">
        <v>222</v>
      </c>
      <c r="E351" s="3" t="s">
        <v>223</v>
      </c>
    </row>
    <row r="352" spans="1:5" x14ac:dyDescent="0.3">
      <c r="A352" t="s">
        <v>932</v>
      </c>
      <c r="B352" t="s">
        <v>933</v>
      </c>
      <c r="C352" t="s">
        <v>934</v>
      </c>
      <c r="D352" s="3" t="s">
        <v>58</v>
      </c>
      <c r="E352" s="3" t="s">
        <v>14</v>
      </c>
    </row>
    <row r="353" spans="1:5" x14ac:dyDescent="0.3">
      <c r="A353" t="s">
        <v>935</v>
      </c>
      <c r="B353" t="s">
        <v>933</v>
      </c>
      <c r="C353" t="s">
        <v>934</v>
      </c>
      <c r="D353" s="3" t="s">
        <v>58</v>
      </c>
      <c r="E353" s="3" t="s">
        <v>14</v>
      </c>
    </row>
    <row r="354" spans="1:5" x14ac:dyDescent="0.3">
      <c r="A354" t="s">
        <v>936</v>
      </c>
      <c r="B354" t="s">
        <v>937</v>
      </c>
      <c r="C354" t="s">
        <v>938</v>
      </c>
      <c r="D354" s="3" t="s">
        <v>143</v>
      </c>
      <c r="E354" s="3" t="s">
        <v>144</v>
      </c>
    </row>
    <row r="355" spans="1:5" x14ac:dyDescent="0.3">
      <c r="A355" t="s">
        <v>939</v>
      </c>
      <c r="B355" t="s">
        <v>937</v>
      </c>
      <c r="C355" t="s">
        <v>938</v>
      </c>
      <c r="D355" s="3" t="s">
        <v>143</v>
      </c>
      <c r="E355" s="3" t="s">
        <v>144</v>
      </c>
    </row>
    <row r="356" spans="1:5" x14ac:dyDescent="0.3">
      <c r="A356" t="s">
        <v>940</v>
      </c>
      <c r="B356" t="s">
        <v>941</v>
      </c>
      <c r="C356" t="s">
        <v>942</v>
      </c>
      <c r="D356" s="3" t="s">
        <v>83</v>
      </c>
      <c r="E356" s="3" t="s">
        <v>48</v>
      </c>
    </row>
    <row r="357" spans="1:5" x14ac:dyDescent="0.3">
      <c r="A357" t="s">
        <v>943</v>
      </c>
      <c r="B357" t="s">
        <v>944</v>
      </c>
      <c r="C357" t="s">
        <v>945</v>
      </c>
      <c r="D357" s="3" t="s">
        <v>200</v>
      </c>
      <c r="E357" s="3" t="s">
        <v>9</v>
      </c>
    </row>
    <row r="358" spans="1:5" x14ac:dyDescent="0.3">
      <c r="A358" t="s">
        <v>946</v>
      </c>
      <c r="B358" t="s">
        <v>947</v>
      </c>
      <c r="C358" t="s">
        <v>948</v>
      </c>
      <c r="D358" s="3" t="s">
        <v>200</v>
      </c>
      <c r="E358" s="3" t="s">
        <v>9</v>
      </c>
    </row>
    <row r="359" spans="1:5" x14ac:dyDescent="0.3">
      <c r="A359" t="s">
        <v>949</v>
      </c>
      <c r="B359" t="s">
        <v>950</v>
      </c>
      <c r="C359" t="s">
        <v>951</v>
      </c>
      <c r="D359" s="3" t="s">
        <v>13</v>
      </c>
      <c r="E359" s="3" t="s">
        <v>14</v>
      </c>
    </row>
    <row r="360" spans="1:5" x14ac:dyDescent="0.3">
      <c r="A360" t="s">
        <v>952</v>
      </c>
      <c r="B360" t="s">
        <v>950</v>
      </c>
      <c r="C360" t="s">
        <v>951</v>
      </c>
      <c r="D360" s="3" t="s">
        <v>13</v>
      </c>
      <c r="E360" s="3" t="s">
        <v>14</v>
      </c>
    </row>
    <row r="361" spans="1:5" x14ac:dyDescent="0.3">
      <c r="A361" t="s">
        <v>953</v>
      </c>
      <c r="B361" t="s">
        <v>954</v>
      </c>
      <c r="C361" t="s">
        <v>955</v>
      </c>
      <c r="D361" s="3" t="s">
        <v>87</v>
      </c>
      <c r="E361" s="3" t="s">
        <v>48</v>
      </c>
    </row>
    <row r="362" spans="1:5" x14ac:dyDescent="0.3">
      <c r="A362" t="s">
        <v>956</v>
      </c>
      <c r="B362" t="s">
        <v>957</v>
      </c>
      <c r="C362" t="s">
        <v>958</v>
      </c>
      <c r="D362" s="3" t="s">
        <v>129</v>
      </c>
      <c r="E362" s="3" t="s">
        <v>48</v>
      </c>
    </row>
    <row r="363" spans="1:5" x14ac:dyDescent="0.3">
      <c r="A363" t="s">
        <v>959</v>
      </c>
      <c r="B363" t="s">
        <v>960</v>
      </c>
      <c r="C363" t="s">
        <v>961</v>
      </c>
      <c r="D363" s="3" t="s">
        <v>962</v>
      </c>
      <c r="E363" s="3" t="s">
        <v>247</v>
      </c>
    </row>
    <row r="364" spans="1:5" x14ac:dyDescent="0.3">
      <c r="A364" t="s">
        <v>963</v>
      </c>
      <c r="B364" t="s">
        <v>964</v>
      </c>
      <c r="C364" t="s">
        <v>965</v>
      </c>
      <c r="D364" s="3" t="s">
        <v>200</v>
      </c>
      <c r="E364" s="3" t="s">
        <v>9</v>
      </c>
    </row>
    <row r="365" spans="1:5" x14ac:dyDescent="0.3">
      <c r="A365" t="s">
        <v>966</v>
      </c>
      <c r="B365" t="s">
        <v>967</v>
      </c>
      <c r="C365" t="s">
        <v>968</v>
      </c>
      <c r="D365" s="3" t="s">
        <v>594</v>
      </c>
      <c r="E365" s="3" t="s">
        <v>28</v>
      </c>
    </row>
    <row r="366" spans="1:5" x14ac:dyDescent="0.3">
      <c r="A366" t="s">
        <v>969</v>
      </c>
      <c r="B366" t="s">
        <v>967</v>
      </c>
      <c r="C366" t="s">
        <v>968</v>
      </c>
      <c r="D366" s="3" t="s">
        <v>594</v>
      </c>
      <c r="E366" s="3" t="s">
        <v>28</v>
      </c>
    </row>
    <row r="367" spans="1:5" x14ac:dyDescent="0.3">
      <c r="A367" t="s">
        <v>970</v>
      </c>
      <c r="B367" t="s">
        <v>971</v>
      </c>
      <c r="C367" t="s">
        <v>972</v>
      </c>
      <c r="D367" s="3" t="s">
        <v>973</v>
      </c>
      <c r="E367" s="3" t="s">
        <v>28</v>
      </c>
    </row>
    <row r="368" spans="1:5" x14ac:dyDescent="0.3">
      <c r="A368" t="s">
        <v>974</v>
      </c>
      <c r="B368" t="s">
        <v>975</v>
      </c>
      <c r="C368" t="s">
        <v>976</v>
      </c>
      <c r="D368" s="3" t="s">
        <v>821</v>
      </c>
      <c r="E368" s="3" t="s">
        <v>223</v>
      </c>
    </row>
    <row r="369" spans="1:5" x14ac:dyDescent="0.3">
      <c r="A369" t="s">
        <v>977</v>
      </c>
      <c r="B369" t="s">
        <v>978</v>
      </c>
      <c r="C369" t="s">
        <v>979</v>
      </c>
      <c r="D369" s="3" t="s">
        <v>143</v>
      </c>
      <c r="E369" s="3" t="s">
        <v>144</v>
      </c>
    </row>
    <row r="370" spans="1:5" x14ac:dyDescent="0.3">
      <c r="A370" t="s">
        <v>980</v>
      </c>
      <c r="B370" t="s">
        <v>981</v>
      </c>
      <c r="C370" t="s">
        <v>982</v>
      </c>
      <c r="D370" s="3" t="s">
        <v>23</v>
      </c>
      <c r="E370" s="3" t="s">
        <v>28</v>
      </c>
    </row>
    <row r="371" spans="1:5" x14ac:dyDescent="0.3">
      <c r="A371" t="s">
        <v>983</v>
      </c>
      <c r="B371" t="s">
        <v>984</v>
      </c>
      <c r="C371" t="s">
        <v>985</v>
      </c>
      <c r="D371" s="3" t="s">
        <v>176</v>
      </c>
      <c r="E371" s="3" t="s">
        <v>14</v>
      </c>
    </row>
    <row r="372" spans="1:5" x14ac:dyDescent="0.3">
      <c r="A372" t="s">
        <v>986</v>
      </c>
      <c r="B372" t="s">
        <v>987</v>
      </c>
      <c r="C372" t="s">
        <v>988</v>
      </c>
      <c r="D372" s="3" t="s">
        <v>557</v>
      </c>
      <c r="E372" s="3" t="s">
        <v>28</v>
      </c>
    </row>
    <row r="373" spans="1:5" x14ac:dyDescent="0.3">
      <c r="A373" t="s">
        <v>989</v>
      </c>
      <c r="B373" t="s">
        <v>990</v>
      </c>
      <c r="C373" t="s">
        <v>991</v>
      </c>
      <c r="D373" s="3" t="s">
        <v>331</v>
      </c>
      <c r="E373" s="3" t="s">
        <v>48</v>
      </c>
    </row>
    <row r="374" spans="1:5" x14ac:dyDescent="0.3">
      <c r="A374" t="s">
        <v>992</v>
      </c>
      <c r="B374" t="s">
        <v>990</v>
      </c>
      <c r="C374" t="s">
        <v>991</v>
      </c>
      <c r="D374" s="3" t="s">
        <v>331</v>
      </c>
      <c r="E374" s="3" t="s">
        <v>48</v>
      </c>
    </row>
    <row r="375" spans="1:5" x14ac:dyDescent="0.3">
      <c r="A375" t="s">
        <v>993</v>
      </c>
      <c r="B375" t="s">
        <v>994</v>
      </c>
      <c r="C375" t="s">
        <v>995</v>
      </c>
      <c r="D375" s="3" t="s">
        <v>8</v>
      </c>
      <c r="E375" s="3" t="s">
        <v>9</v>
      </c>
    </row>
    <row r="376" spans="1:5" x14ac:dyDescent="0.3">
      <c r="A376" t="s">
        <v>996</v>
      </c>
      <c r="B376" t="s">
        <v>997</v>
      </c>
      <c r="C376" t="s">
        <v>998</v>
      </c>
      <c r="D376" s="3" t="s">
        <v>200</v>
      </c>
      <c r="E376" s="3" t="s">
        <v>9</v>
      </c>
    </row>
    <row r="377" spans="1:5" x14ac:dyDescent="0.3">
      <c r="A377" t="s">
        <v>999</v>
      </c>
      <c r="B377" t="s">
        <v>1000</v>
      </c>
      <c r="C377" t="s">
        <v>1001</v>
      </c>
      <c r="D377" s="3" t="s">
        <v>1002</v>
      </c>
      <c r="E377" s="3" t="s">
        <v>28</v>
      </c>
    </row>
    <row r="378" spans="1:5" x14ac:dyDescent="0.3">
      <c r="A378" t="s">
        <v>1003</v>
      </c>
      <c r="B378" t="s">
        <v>1004</v>
      </c>
      <c r="C378" t="s">
        <v>1005</v>
      </c>
      <c r="D378" s="3" t="s">
        <v>143</v>
      </c>
      <c r="E378" s="3" t="s">
        <v>144</v>
      </c>
    </row>
    <row r="379" spans="1:5" x14ac:dyDescent="0.3">
      <c r="A379" t="s">
        <v>1006</v>
      </c>
      <c r="B379" t="s">
        <v>1007</v>
      </c>
      <c r="C379" t="s">
        <v>1008</v>
      </c>
      <c r="D379" s="3" t="s">
        <v>1009</v>
      </c>
      <c r="E379" s="3" t="s">
        <v>247</v>
      </c>
    </row>
    <row r="380" spans="1:5" x14ac:dyDescent="0.3">
      <c r="A380" t="s">
        <v>1010</v>
      </c>
      <c r="B380" t="s">
        <v>1011</v>
      </c>
      <c r="C380" t="s">
        <v>1012</v>
      </c>
      <c r="D380" s="3" t="s">
        <v>594</v>
      </c>
      <c r="E380" s="3" t="s">
        <v>28</v>
      </c>
    </row>
    <row r="381" spans="1:5" x14ac:dyDescent="0.3">
      <c r="A381" t="s">
        <v>1013</v>
      </c>
      <c r="B381" t="s">
        <v>1011</v>
      </c>
      <c r="C381" t="s">
        <v>1012</v>
      </c>
      <c r="D381" s="3" t="s">
        <v>594</v>
      </c>
      <c r="E381" s="3" t="s">
        <v>28</v>
      </c>
    </row>
    <row r="382" spans="1:5" x14ac:dyDescent="0.3">
      <c r="A382" t="s">
        <v>1014</v>
      </c>
      <c r="B382" t="s">
        <v>1015</v>
      </c>
      <c r="C382" t="s">
        <v>1016</v>
      </c>
      <c r="D382" s="3" t="s">
        <v>594</v>
      </c>
      <c r="E382" s="3" t="s">
        <v>28</v>
      </c>
    </row>
    <row r="383" spans="1:5" x14ac:dyDescent="0.3">
      <c r="A383" t="s">
        <v>1017</v>
      </c>
      <c r="B383" t="s">
        <v>1015</v>
      </c>
      <c r="C383" t="s">
        <v>1016</v>
      </c>
      <c r="D383" s="3" t="s">
        <v>594</v>
      </c>
      <c r="E383" s="3" t="s">
        <v>28</v>
      </c>
    </row>
    <row r="384" spans="1:5" x14ac:dyDescent="0.3">
      <c r="A384" t="s">
        <v>1018</v>
      </c>
      <c r="B384" t="s">
        <v>1019</v>
      </c>
      <c r="C384" t="s">
        <v>1020</v>
      </c>
      <c r="D384" s="3" t="s">
        <v>129</v>
      </c>
      <c r="E384" s="3" t="s">
        <v>48</v>
      </c>
    </row>
    <row r="385" spans="1:5" x14ac:dyDescent="0.3">
      <c r="A385" t="s">
        <v>1021</v>
      </c>
      <c r="B385" t="s">
        <v>1022</v>
      </c>
      <c r="C385" t="s">
        <v>1023</v>
      </c>
      <c r="D385" s="3" t="s">
        <v>8</v>
      </c>
      <c r="E385" s="3" t="s">
        <v>9</v>
      </c>
    </row>
    <row r="386" spans="1:5" x14ac:dyDescent="0.3">
      <c r="A386" t="s">
        <v>1024</v>
      </c>
      <c r="B386" t="s">
        <v>103</v>
      </c>
      <c r="C386" t="s">
        <v>104</v>
      </c>
      <c r="D386" s="3" t="s">
        <v>222</v>
      </c>
      <c r="E386" s="3" t="s">
        <v>223</v>
      </c>
    </row>
    <row r="387" spans="1:5" x14ac:dyDescent="0.3">
      <c r="A387" t="s">
        <v>1025</v>
      </c>
      <c r="B387" t="s">
        <v>1026</v>
      </c>
      <c r="C387" t="s">
        <v>1027</v>
      </c>
      <c r="D387" s="3" t="s">
        <v>143</v>
      </c>
      <c r="E387" s="3" t="s">
        <v>144</v>
      </c>
    </row>
    <row r="388" spans="1:5" x14ac:dyDescent="0.3">
      <c r="A388" t="s">
        <v>1028</v>
      </c>
      <c r="B388" t="s">
        <v>1029</v>
      </c>
      <c r="C388" t="s">
        <v>1030</v>
      </c>
      <c r="D388" s="3" t="s">
        <v>32</v>
      </c>
      <c r="E388" s="3" t="s">
        <v>33</v>
      </c>
    </row>
    <row r="389" spans="1:5" x14ac:dyDescent="0.3">
      <c r="A389" t="s">
        <v>1031</v>
      </c>
      <c r="B389" t="s">
        <v>1032</v>
      </c>
      <c r="C389" t="s">
        <v>1033</v>
      </c>
      <c r="D389" s="3" t="s">
        <v>841</v>
      </c>
      <c r="E389" s="3" t="s">
        <v>48</v>
      </c>
    </row>
    <row r="390" spans="1:5" x14ac:dyDescent="0.3">
      <c r="A390" t="s">
        <v>1034</v>
      </c>
      <c r="B390" t="s">
        <v>1035</v>
      </c>
      <c r="C390" t="s">
        <v>1036</v>
      </c>
      <c r="D390" s="3" t="s">
        <v>32</v>
      </c>
      <c r="E390" s="3" t="s">
        <v>33</v>
      </c>
    </row>
    <row r="391" spans="1:5" x14ac:dyDescent="0.3">
      <c r="A391" t="s">
        <v>1037</v>
      </c>
      <c r="B391" t="s">
        <v>1038</v>
      </c>
      <c r="C391" t="s">
        <v>1039</v>
      </c>
      <c r="D391" s="3" t="s">
        <v>32</v>
      </c>
      <c r="E391" s="3" t="s">
        <v>33</v>
      </c>
    </row>
    <row r="392" spans="1:5" x14ac:dyDescent="0.3">
      <c r="A392" t="s">
        <v>1040</v>
      </c>
      <c r="B392" t="s">
        <v>1038</v>
      </c>
      <c r="C392" t="s">
        <v>1039</v>
      </c>
      <c r="D392" s="3" t="s">
        <v>32</v>
      </c>
      <c r="E392" s="3" t="s">
        <v>33</v>
      </c>
    </row>
    <row r="393" spans="1:5" x14ac:dyDescent="0.3">
      <c r="A393" t="s">
        <v>1041</v>
      </c>
      <c r="B393" t="s">
        <v>1038</v>
      </c>
      <c r="C393" t="s">
        <v>1039</v>
      </c>
      <c r="D393" s="3" t="s">
        <v>32</v>
      </c>
      <c r="E393" s="3" t="s">
        <v>33</v>
      </c>
    </row>
    <row r="394" spans="1:5" x14ac:dyDescent="0.3">
      <c r="A394" t="s">
        <v>1042</v>
      </c>
      <c r="B394" t="s">
        <v>1043</v>
      </c>
      <c r="C394" t="s">
        <v>1044</v>
      </c>
      <c r="D394" s="3" t="s">
        <v>27</v>
      </c>
      <c r="E394" s="3" t="s">
        <v>28</v>
      </c>
    </row>
    <row r="395" spans="1:5" x14ac:dyDescent="0.3">
      <c r="A395" t="s">
        <v>1045</v>
      </c>
      <c r="B395" t="s">
        <v>1046</v>
      </c>
      <c r="C395" t="s">
        <v>1047</v>
      </c>
      <c r="D395" s="3" t="s">
        <v>13</v>
      </c>
      <c r="E395" s="3" t="s">
        <v>14</v>
      </c>
    </row>
    <row r="396" spans="1:5" x14ac:dyDescent="0.3">
      <c r="A396" t="s">
        <v>1048</v>
      </c>
      <c r="B396" t="s">
        <v>1046</v>
      </c>
      <c r="C396" t="s">
        <v>1047</v>
      </c>
      <c r="D396" s="3" t="s">
        <v>13</v>
      </c>
      <c r="E396" s="3" t="s">
        <v>14</v>
      </c>
    </row>
    <row r="397" spans="1:5" x14ac:dyDescent="0.3">
      <c r="A397" t="s">
        <v>1049</v>
      </c>
      <c r="B397" t="s">
        <v>1046</v>
      </c>
      <c r="C397" t="s">
        <v>1047</v>
      </c>
      <c r="D397" s="3" t="s">
        <v>13</v>
      </c>
      <c r="E397" s="3" t="s">
        <v>14</v>
      </c>
    </row>
    <row r="398" spans="1:5" x14ac:dyDescent="0.3">
      <c r="A398" t="s">
        <v>1050</v>
      </c>
      <c r="B398" t="s">
        <v>1051</v>
      </c>
      <c r="C398" t="s">
        <v>1052</v>
      </c>
      <c r="D398" s="3" t="s">
        <v>143</v>
      </c>
      <c r="E398" s="3" t="s">
        <v>144</v>
      </c>
    </row>
    <row r="399" spans="1:5" x14ac:dyDescent="0.3">
      <c r="A399" t="s">
        <v>1053</v>
      </c>
      <c r="B399" t="s">
        <v>1054</v>
      </c>
      <c r="D399" s="3"/>
      <c r="E399" s="3"/>
    </row>
    <row r="400" spans="1:5" x14ac:dyDescent="0.3">
      <c r="A400" t="s">
        <v>1055</v>
      </c>
      <c r="B400" t="s">
        <v>1056</v>
      </c>
      <c r="C400" t="s">
        <v>1057</v>
      </c>
      <c r="D400" s="3" t="s">
        <v>129</v>
      </c>
      <c r="E400" s="3" t="s">
        <v>48</v>
      </c>
    </row>
    <row r="401" spans="1:5" x14ac:dyDescent="0.3">
      <c r="A401" t="s">
        <v>1058</v>
      </c>
      <c r="B401" t="s">
        <v>1059</v>
      </c>
      <c r="C401" t="s">
        <v>1060</v>
      </c>
      <c r="D401" s="3" t="s">
        <v>594</v>
      </c>
      <c r="E401" s="3" t="s">
        <v>28</v>
      </c>
    </row>
    <row r="402" spans="1:5" x14ac:dyDescent="0.3">
      <c r="A402" t="s">
        <v>1061</v>
      </c>
      <c r="B402" t="s">
        <v>1062</v>
      </c>
      <c r="C402" t="s">
        <v>1063</v>
      </c>
      <c r="D402" s="3" t="s">
        <v>47</v>
      </c>
      <c r="E402" s="3" t="s">
        <v>48</v>
      </c>
    </row>
    <row r="403" spans="1:5" x14ac:dyDescent="0.3">
      <c r="A403" t="s">
        <v>1064</v>
      </c>
      <c r="B403" t="s">
        <v>1065</v>
      </c>
      <c r="C403" t="s">
        <v>1066</v>
      </c>
      <c r="D403" s="3" t="s">
        <v>13</v>
      </c>
      <c r="E403" s="3" t="s">
        <v>14</v>
      </c>
    </row>
    <row r="404" spans="1:5" x14ac:dyDescent="0.3">
      <c r="A404" t="s">
        <v>1067</v>
      </c>
      <c r="B404" t="s">
        <v>1065</v>
      </c>
      <c r="C404" t="s">
        <v>1066</v>
      </c>
      <c r="D404" s="3" t="s">
        <v>13</v>
      </c>
      <c r="E404" s="3" t="s">
        <v>14</v>
      </c>
    </row>
    <row r="405" spans="1:5" x14ac:dyDescent="0.3">
      <c r="A405" t="s">
        <v>1068</v>
      </c>
      <c r="B405" t="s">
        <v>1065</v>
      </c>
      <c r="C405" t="s">
        <v>1066</v>
      </c>
      <c r="D405" s="3" t="s">
        <v>13</v>
      </c>
      <c r="E405" s="3" t="s">
        <v>14</v>
      </c>
    </row>
    <row r="406" spans="1:5" x14ac:dyDescent="0.3">
      <c r="A406" t="s">
        <v>1069</v>
      </c>
      <c r="B406" t="s">
        <v>1070</v>
      </c>
      <c r="C406" t="s">
        <v>1071</v>
      </c>
      <c r="D406" s="3" t="s">
        <v>79</v>
      </c>
      <c r="E406" s="3" t="s">
        <v>33</v>
      </c>
    </row>
    <row r="407" spans="1:5" x14ac:dyDescent="0.3">
      <c r="A407" t="s">
        <v>1072</v>
      </c>
      <c r="B407" t="s">
        <v>1070</v>
      </c>
      <c r="C407" t="s">
        <v>1071</v>
      </c>
      <c r="D407" s="3" t="s">
        <v>79</v>
      </c>
      <c r="E407" s="3" t="s">
        <v>33</v>
      </c>
    </row>
    <row r="408" spans="1:5" x14ac:dyDescent="0.3">
      <c r="A408" t="s">
        <v>1073</v>
      </c>
      <c r="B408" t="s">
        <v>1070</v>
      </c>
      <c r="C408" t="s">
        <v>1071</v>
      </c>
      <c r="D408" s="3" t="s">
        <v>79</v>
      </c>
      <c r="E408" s="3" t="s">
        <v>33</v>
      </c>
    </row>
    <row r="409" spans="1:5" x14ac:dyDescent="0.3">
      <c r="A409" t="s">
        <v>1074</v>
      </c>
      <c r="B409" t="s">
        <v>1075</v>
      </c>
      <c r="C409" t="s">
        <v>1076</v>
      </c>
      <c r="D409" s="3" t="s">
        <v>83</v>
      </c>
      <c r="E409" s="3" t="s">
        <v>48</v>
      </c>
    </row>
    <row r="410" spans="1:5" x14ac:dyDescent="0.3">
      <c r="A410" t="s">
        <v>1077</v>
      </c>
      <c r="B410" t="s">
        <v>1078</v>
      </c>
      <c r="C410" t="s">
        <v>1079</v>
      </c>
      <c r="D410" s="3" t="s">
        <v>79</v>
      </c>
      <c r="E410" s="3" t="s">
        <v>33</v>
      </c>
    </row>
    <row r="411" spans="1:5" x14ac:dyDescent="0.3">
      <c r="A411" t="s">
        <v>1080</v>
      </c>
      <c r="B411" t="s">
        <v>1081</v>
      </c>
      <c r="C411" t="s">
        <v>1082</v>
      </c>
      <c r="D411" s="3" t="s">
        <v>58</v>
      </c>
      <c r="E411" s="3" t="s">
        <v>14</v>
      </c>
    </row>
    <row r="412" spans="1:5" x14ac:dyDescent="0.3">
      <c r="A412" t="s">
        <v>1083</v>
      </c>
      <c r="B412" t="s">
        <v>1084</v>
      </c>
      <c r="C412" t="s">
        <v>1085</v>
      </c>
      <c r="D412" s="3" t="s">
        <v>91</v>
      </c>
      <c r="E412" s="3" t="s">
        <v>48</v>
      </c>
    </row>
    <row r="413" spans="1:5" x14ac:dyDescent="0.3">
      <c r="A413" t="s">
        <v>1086</v>
      </c>
      <c r="B413" t="s">
        <v>1087</v>
      </c>
      <c r="C413" t="s">
        <v>1088</v>
      </c>
      <c r="D413" s="3" t="s">
        <v>719</v>
      </c>
      <c r="E413" s="3" t="s">
        <v>28</v>
      </c>
    </row>
    <row r="414" spans="1:5" x14ac:dyDescent="0.3">
      <c r="A414" t="s">
        <v>1089</v>
      </c>
      <c r="B414" t="s">
        <v>1090</v>
      </c>
      <c r="C414" t="s">
        <v>1091</v>
      </c>
      <c r="D414" s="3" t="s">
        <v>331</v>
      </c>
      <c r="E414" s="3" t="s">
        <v>48</v>
      </c>
    </row>
    <row r="415" spans="1:5" x14ac:dyDescent="0.3">
      <c r="A415" t="s">
        <v>1092</v>
      </c>
      <c r="B415" t="s">
        <v>1093</v>
      </c>
      <c r="C415" t="s">
        <v>1094</v>
      </c>
      <c r="D415" s="3" t="s">
        <v>47</v>
      </c>
      <c r="E415" s="3" t="s">
        <v>48</v>
      </c>
    </row>
    <row r="416" spans="1:5" x14ac:dyDescent="0.3">
      <c r="A416" t="s">
        <v>1095</v>
      </c>
      <c r="B416" t="s">
        <v>1096</v>
      </c>
      <c r="C416" t="s">
        <v>1097</v>
      </c>
      <c r="D416" s="3" t="s">
        <v>1098</v>
      </c>
      <c r="E416" s="3" t="s">
        <v>28</v>
      </c>
    </row>
    <row r="417" spans="1:5" x14ac:dyDescent="0.3">
      <c r="A417" t="s">
        <v>1099</v>
      </c>
      <c r="B417" t="s">
        <v>1096</v>
      </c>
      <c r="C417" t="s">
        <v>1097</v>
      </c>
      <c r="D417" s="3" t="s">
        <v>1098</v>
      </c>
      <c r="E417" s="3" t="s">
        <v>28</v>
      </c>
    </row>
    <row r="418" spans="1:5" x14ac:dyDescent="0.3">
      <c r="A418" t="s">
        <v>1100</v>
      </c>
      <c r="B418" t="s">
        <v>1101</v>
      </c>
      <c r="C418" t="s">
        <v>1102</v>
      </c>
      <c r="D418" s="3" t="s">
        <v>105</v>
      </c>
      <c r="E418" s="3" t="s">
        <v>14</v>
      </c>
    </row>
    <row r="419" spans="1:5" x14ac:dyDescent="0.3">
      <c r="A419" t="s">
        <v>1103</v>
      </c>
      <c r="B419" t="s">
        <v>1104</v>
      </c>
      <c r="C419" t="s">
        <v>1105</v>
      </c>
      <c r="D419" s="3" t="s">
        <v>40</v>
      </c>
      <c r="E419" s="3" t="s">
        <v>19</v>
      </c>
    </row>
    <row r="420" spans="1:5" x14ac:dyDescent="0.3">
      <c r="A420" t="s">
        <v>1106</v>
      </c>
      <c r="B420" t="s">
        <v>1107</v>
      </c>
      <c r="C420" t="s">
        <v>1108</v>
      </c>
      <c r="D420" s="3" t="s">
        <v>1109</v>
      </c>
      <c r="E420" s="3" t="s">
        <v>48</v>
      </c>
    </row>
    <row r="421" spans="1:5" x14ac:dyDescent="0.3">
      <c r="A421" t="s">
        <v>1110</v>
      </c>
      <c r="B421" t="s">
        <v>1111</v>
      </c>
      <c r="C421" t="s">
        <v>1112</v>
      </c>
      <c r="D421" s="3" t="s">
        <v>705</v>
      </c>
      <c r="E421" s="3" t="s">
        <v>19</v>
      </c>
    </row>
    <row r="422" spans="1:5" x14ac:dyDescent="0.3">
      <c r="A422" t="s">
        <v>1113</v>
      </c>
      <c r="B422" t="s">
        <v>1114</v>
      </c>
      <c r="C422" t="s">
        <v>1115</v>
      </c>
      <c r="D422" s="3" t="s">
        <v>1116</v>
      </c>
      <c r="E422" s="3" t="s">
        <v>247</v>
      </c>
    </row>
    <row r="423" spans="1:5" x14ac:dyDescent="0.3">
      <c r="A423" t="s">
        <v>1117</v>
      </c>
      <c r="B423" t="s">
        <v>1114</v>
      </c>
      <c r="C423" t="s">
        <v>1115</v>
      </c>
      <c r="D423" s="3" t="s">
        <v>1116</v>
      </c>
      <c r="E423" s="3" t="s">
        <v>247</v>
      </c>
    </row>
    <row r="424" spans="1:5" x14ac:dyDescent="0.3">
      <c r="A424" t="s">
        <v>1118</v>
      </c>
      <c r="B424" t="s">
        <v>1114</v>
      </c>
      <c r="C424" t="s">
        <v>1115</v>
      </c>
      <c r="D424" s="3" t="s">
        <v>1116</v>
      </c>
      <c r="E424" s="3" t="s">
        <v>247</v>
      </c>
    </row>
    <row r="425" spans="1:5" x14ac:dyDescent="0.3">
      <c r="A425" t="s">
        <v>1119</v>
      </c>
      <c r="B425" t="s">
        <v>1120</v>
      </c>
      <c r="C425" t="s">
        <v>1121</v>
      </c>
      <c r="D425" s="3" t="s">
        <v>40</v>
      </c>
      <c r="E425" s="3" t="s">
        <v>19</v>
      </c>
    </row>
    <row r="426" spans="1:5" x14ac:dyDescent="0.3">
      <c r="A426" t="s">
        <v>1122</v>
      </c>
      <c r="B426" t="s">
        <v>1123</v>
      </c>
      <c r="C426" t="s">
        <v>1124</v>
      </c>
      <c r="D426" s="3" t="s">
        <v>75</v>
      </c>
      <c r="E426" s="3" t="s">
        <v>48</v>
      </c>
    </row>
    <row r="427" spans="1:5" x14ac:dyDescent="0.3">
      <c r="A427" t="s">
        <v>1125</v>
      </c>
      <c r="B427" t="s">
        <v>1126</v>
      </c>
      <c r="C427" t="s">
        <v>1127</v>
      </c>
      <c r="D427" s="3" t="s">
        <v>1128</v>
      </c>
      <c r="E427" s="3" t="s">
        <v>28</v>
      </c>
    </row>
    <row r="428" spans="1:5" x14ac:dyDescent="0.3">
      <c r="A428" t="s">
        <v>1129</v>
      </c>
      <c r="B428" t="s">
        <v>1126</v>
      </c>
      <c r="C428" t="s">
        <v>1127</v>
      </c>
      <c r="D428" s="3" t="s">
        <v>1128</v>
      </c>
      <c r="E428" s="3" t="s">
        <v>28</v>
      </c>
    </row>
    <row r="429" spans="1:5" x14ac:dyDescent="0.3">
      <c r="A429" t="s">
        <v>1130</v>
      </c>
      <c r="B429" t="s">
        <v>1126</v>
      </c>
      <c r="C429" t="s">
        <v>1127</v>
      </c>
      <c r="D429" s="3" t="s">
        <v>1128</v>
      </c>
      <c r="E429" s="3" t="s">
        <v>28</v>
      </c>
    </row>
    <row r="430" spans="1:5" x14ac:dyDescent="0.3">
      <c r="A430" t="s">
        <v>1131</v>
      </c>
      <c r="B430" t="s">
        <v>1132</v>
      </c>
      <c r="C430" t="s">
        <v>1133</v>
      </c>
      <c r="D430" s="3" t="s">
        <v>32</v>
      </c>
      <c r="E430" s="3" t="s">
        <v>33</v>
      </c>
    </row>
    <row r="431" spans="1:5" x14ac:dyDescent="0.3">
      <c r="A431" t="s">
        <v>1134</v>
      </c>
      <c r="B431" t="s">
        <v>1135</v>
      </c>
      <c r="C431" t="s">
        <v>1136</v>
      </c>
      <c r="D431" s="3" t="s">
        <v>973</v>
      </c>
      <c r="E431" s="3" t="s">
        <v>28</v>
      </c>
    </row>
    <row r="432" spans="1:5" x14ac:dyDescent="0.3">
      <c r="A432" t="s">
        <v>1137</v>
      </c>
      <c r="B432" t="s">
        <v>1138</v>
      </c>
      <c r="C432" t="s">
        <v>1139</v>
      </c>
      <c r="D432" s="3" t="s">
        <v>726</v>
      </c>
      <c r="E432" s="3" t="s">
        <v>247</v>
      </c>
    </row>
    <row r="433" spans="1:5" x14ac:dyDescent="0.3">
      <c r="A433" t="s">
        <v>1140</v>
      </c>
      <c r="B433" t="s">
        <v>1141</v>
      </c>
      <c r="C433" t="s">
        <v>1142</v>
      </c>
      <c r="D433" s="3" t="s">
        <v>58</v>
      </c>
      <c r="E433" s="3" t="s">
        <v>14</v>
      </c>
    </row>
    <row r="434" spans="1:5" x14ac:dyDescent="0.3">
      <c r="A434" t="s">
        <v>1143</v>
      </c>
      <c r="B434" t="s">
        <v>1144</v>
      </c>
      <c r="C434" t="s">
        <v>1145</v>
      </c>
      <c r="D434" s="3" t="s">
        <v>32</v>
      </c>
      <c r="E434" s="3" t="s">
        <v>33</v>
      </c>
    </row>
    <row r="435" spans="1:5" x14ac:dyDescent="0.3">
      <c r="A435" t="s">
        <v>1146</v>
      </c>
      <c r="B435" t="s">
        <v>1144</v>
      </c>
      <c r="C435" t="s">
        <v>1145</v>
      </c>
      <c r="D435" s="3" t="s">
        <v>32</v>
      </c>
      <c r="E435" s="3" t="s">
        <v>33</v>
      </c>
    </row>
    <row r="436" spans="1:5" x14ac:dyDescent="0.3">
      <c r="A436" t="s">
        <v>1147</v>
      </c>
      <c r="B436" t="s">
        <v>1144</v>
      </c>
      <c r="C436" t="s">
        <v>1145</v>
      </c>
      <c r="D436" s="3" t="s">
        <v>32</v>
      </c>
      <c r="E436" s="3" t="s">
        <v>33</v>
      </c>
    </row>
    <row r="437" spans="1:5" x14ac:dyDescent="0.3">
      <c r="A437" t="s">
        <v>1148</v>
      </c>
      <c r="B437" t="s">
        <v>1149</v>
      </c>
      <c r="C437" t="s">
        <v>1150</v>
      </c>
      <c r="D437" s="3" t="s">
        <v>1151</v>
      </c>
      <c r="E437" s="3" t="s">
        <v>28</v>
      </c>
    </row>
    <row r="438" spans="1:5" x14ac:dyDescent="0.3">
      <c r="A438" t="s">
        <v>1152</v>
      </c>
      <c r="B438" t="s">
        <v>1149</v>
      </c>
      <c r="C438" t="s">
        <v>1150</v>
      </c>
      <c r="D438" s="3" t="s">
        <v>1151</v>
      </c>
      <c r="E438" s="3" t="s">
        <v>28</v>
      </c>
    </row>
    <row r="439" spans="1:5" x14ac:dyDescent="0.3">
      <c r="A439" t="s">
        <v>1153</v>
      </c>
      <c r="B439" t="s">
        <v>1154</v>
      </c>
      <c r="C439" t="s">
        <v>1155</v>
      </c>
      <c r="D439" s="3" t="s">
        <v>129</v>
      </c>
      <c r="E439" s="3" t="s">
        <v>48</v>
      </c>
    </row>
    <row r="440" spans="1:5" x14ac:dyDescent="0.3">
      <c r="A440" t="s">
        <v>1156</v>
      </c>
      <c r="B440" t="s">
        <v>1157</v>
      </c>
      <c r="C440" t="s">
        <v>1158</v>
      </c>
      <c r="D440" s="3" t="s">
        <v>830</v>
      </c>
      <c r="E440" s="3" t="s">
        <v>48</v>
      </c>
    </row>
    <row r="441" spans="1:5" x14ac:dyDescent="0.3">
      <c r="A441" t="s">
        <v>1159</v>
      </c>
      <c r="B441" t="s">
        <v>1160</v>
      </c>
      <c r="C441" t="s">
        <v>1161</v>
      </c>
      <c r="D441" s="3" t="s">
        <v>331</v>
      </c>
      <c r="E441" s="3" t="s">
        <v>48</v>
      </c>
    </row>
    <row r="442" spans="1:5" x14ac:dyDescent="0.3">
      <c r="A442" t="s">
        <v>1162</v>
      </c>
      <c r="B442" t="s">
        <v>1160</v>
      </c>
      <c r="C442" t="s">
        <v>1161</v>
      </c>
      <c r="D442" s="3" t="s">
        <v>331</v>
      </c>
      <c r="E442" s="3" t="s">
        <v>48</v>
      </c>
    </row>
    <row r="443" spans="1:5" x14ac:dyDescent="0.3">
      <c r="A443" t="s">
        <v>1163</v>
      </c>
      <c r="B443" t="s">
        <v>1164</v>
      </c>
      <c r="C443" t="s">
        <v>1165</v>
      </c>
      <c r="D443" s="3" t="s">
        <v>266</v>
      </c>
      <c r="E443" s="3" t="s">
        <v>267</v>
      </c>
    </row>
    <row r="444" spans="1:5" x14ac:dyDescent="0.3">
      <c r="A444" t="s">
        <v>1166</v>
      </c>
      <c r="B444" t="s">
        <v>1164</v>
      </c>
      <c r="C444" t="s">
        <v>1165</v>
      </c>
      <c r="D444" s="3" t="s">
        <v>266</v>
      </c>
      <c r="E444" s="3" t="s">
        <v>267</v>
      </c>
    </row>
    <row r="445" spans="1:5" x14ac:dyDescent="0.3">
      <c r="A445" t="s">
        <v>1167</v>
      </c>
      <c r="B445" t="s">
        <v>1168</v>
      </c>
      <c r="C445" t="s">
        <v>1169</v>
      </c>
      <c r="D445" s="3" t="s">
        <v>129</v>
      </c>
      <c r="E445" s="3" t="s">
        <v>48</v>
      </c>
    </row>
    <row r="446" spans="1:5" x14ac:dyDescent="0.3">
      <c r="A446" t="s">
        <v>1170</v>
      </c>
      <c r="B446" t="s">
        <v>1171</v>
      </c>
      <c r="C446" t="s">
        <v>1172</v>
      </c>
      <c r="D446" s="3" t="s">
        <v>1173</v>
      </c>
      <c r="E446" s="3" t="s">
        <v>48</v>
      </c>
    </row>
    <row r="447" spans="1:5" x14ac:dyDescent="0.3">
      <c r="A447" t="s">
        <v>1174</v>
      </c>
      <c r="B447" t="s">
        <v>1175</v>
      </c>
      <c r="C447" t="s">
        <v>1176</v>
      </c>
      <c r="D447" s="3" t="s">
        <v>719</v>
      </c>
      <c r="E447" s="3" t="s">
        <v>28</v>
      </c>
    </row>
    <row r="448" spans="1:5" x14ac:dyDescent="0.3">
      <c r="A448" t="s">
        <v>1177</v>
      </c>
      <c r="B448" t="s">
        <v>1178</v>
      </c>
      <c r="C448" t="s">
        <v>1179</v>
      </c>
      <c r="D448" s="3" t="s">
        <v>266</v>
      </c>
      <c r="E448" s="3" t="s">
        <v>267</v>
      </c>
    </row>
    <row r="449" spans="1:5" x14ac:dyDescent="0.3">
      <c r="A449" t="s">
        <v>1180</v>
      </c>
      <c r="B449" t="s">
        <v>1181</v>
      </c>
      <c r="C449" t="s">
        <v>1182</v>
      </c>
      <c r="D449" s="3" t="s">
        <v>642</v>
      </c>
      <c r="E449" s="3" t="s">
        <v>247</v>
      </c>
    </row>
    <row r="450" spans="1:5" x14ac:dyDescent="0.3">
      <c r="A450" t="s">
        <v>1183</v>
      </c>
      <c r="B450" t="s">
        <v>1181</v>
      </c>
      <c r="C450" t="s">
        <v>1182</v>
      </c>
      <c r="D450" s="3" t="s">
        <v>642</v>
      </c>
      <c r="E450" s="3" t="s">
        <v>247</v>
      </c>
    </row>
    <row r="451" spans="1:5" x14ac:dyDescent="0.3">
      <c r="A451" t="s">
        <v>1184</v>
      </c>
      <c r="B451" t="s">
        <v>785</v>
      </c>
      <c r="C451" t="s">
        <v>786</v>
      </c>
      <c r="D451" s="3" t="s">
        <v>787</v>
      </c>
      <c r="E451" s="3" t="s">
        <v>48</v>
      </c>
    </row>
    <row r="452" spans="1:5" x14ac:dyDescent="0.3">
      <c r="A452" t="s">
        <v>1185</v>
      </c>
      <c r="B452" t="s">
        <v>1186</v>
      </c>
      <c r="C452" t="s">
        <v>1187</v>
      </c>
      <c r="D452" s="3" t="s">
        <v>222</v>
      </c>
      <c r="E452" s="3" t="s">
        <v>223</v>
      </c>
    </row>
    <row r="453" spans="1:5" x14ac:dyDescent="0.3">
      <c r="A453" t="s">
        <v>1188</v>
      </c>
      <c r="B453" t="s">
        <v>1189</v>
      </c>
      <c r="C453" t="s">
        <v>1190</v>
      </c>
      <c r="D453" s="3" t="s">
        <v>316</v>
      </c>
      <c r="E453" s="3" t="s">
        <v>28</v>
      </c>
    </row>
    <row r="454" spans="1:5" x14ac:dyDescent="0.3">
      <c r="A454" t="s">
        <v>1191</v>
      </c>
      <c r="B454" t="s">
        <v>1192</v>
      </c>
      <c r="C454" t="s">
        <v>1193</v>
      </c>
      <c r="D454" s="3" t="s">
        <v>222</v>
      </c>
      <c r="E454" s="3" t="s">
        <v>223</v>
      </c>
    </row>
    <row r="455" spans="1:5" x14ac:dyDescent="0.3">
      <c r="A455" t="s">
        <v>1194</v>
      </c>
      <c r="B455" t="s">
        <v>1195</v>
      </c>
      <c r="C455" t="s">
        <v>1196</v>
      </c>
      <c r="D455" s="3" t="s">
        <v>129</v>
      </c>
      <c r="E455" s="3" t="s">
        <v>48</v>
      </c>
    </row>
    <row r="456" spans="1:5" x14ac:dyDescent="0.3">
      <c r="A456" t="s">
        <v>1197</v>
      </c>
      <c r="B456" t="s">
        <v>691</v>
      </c>
      <c r="D456" s="3"/>
      <c r="E456" s="3"/>
    </row>
    <row r="457" spans="1:5" x14ac:dyDescent="0.3">
      <c r="A457" t="s">
        <v>1198</v>
      </c>
      <c r="B457" t="s">
        <v>691</v>
      </c>
      <c r="D457" s="3"/>
      <c r="E457" s="3"/>
    </row>
    <row r="458" spans="1:5" x14ac:dyDescent="0.3">
      <c r="A458" t="s">
        <v>1199</v>
      </c>
      <c r="B458" t="s">
        <v>1200</v>
      </c>
      <c r="C458" t="s">
        <v>1201</v>
      </c>
      <c r="D458" s="3" t="s">
        <v>40</v>
      </c>
      <c r="E458" s="3" t="s">
        <v>19</v>
      </c>
    </row>
    <row r="459" spans="1:5" x14ac:dyDescent="0.3">
      <c r="A459" t="s">
        <v>1202</v>
      </c>
      <c r="B459" t="s">
        <v>1203</v>
      </c>
      <c r="C459" t="s">
        <v>1204</v>
      </c>
      <c r="D459" s="3" t="s">
        <v>594</v>
      </c>
      <c r="E459" s="3" t="s">
        <v>28</v>
      </c>
    </row>
    <row r="460" spans="1:5" x14ac:dyDescent="0.3">
      <c r="A460" t="s">
        <v>1205</v>
      </c>
      <c r="B460" t="s">
        <v>1206</v>
      </c>
      <c r="C460" t="s">
        <v>1207</v>
      </c>
      <c r="D460" s="3" t="s">
        <v>331</v>
      </c>
      <c r="E460" s="3" t="s">
        <v>48</v>
      </c>
    </row>
    <row r="461" spans="1:5" x14ac:dyDescent="0.3">
      <c r="A461" t="s">
        <v>1208</v>
      </c>
      <c r="B461" t="s">
        <v>1206</v>
      </c>
      <c r="C461" t="s">
        <v>1207</v>
      </c>
      <c r="D461" s="3" t="s">
        <v>331</v>
      </c>
      <c r="E461" s="3" t="s">
        <v>48</v>
      </c>
    </row>
    <row r="462" spans="1:5" x14ac:dyDescent="0.3">
      <c r="A462" t="s">
        <v>1209</v>
      </c>
      <c r="B462" t="s">
        <v>1210</v>
      </c>
      <c r="C462" t="s">
        <v>1211</v>
      </c>
      <c r="D462" s="3" t="s">
        <v>787</v>
      </c>
      <c r="E462" s="3" t="s">
        <v>48</v>
      </c>
    </row>
    <row r="463" spans="1:5" x14ac:dyDescent="0.3">
      <c r="A463" t="s">
        <v>1212</v>
      </c>
      <c r="B463" t="s">
        <v>1213</v>
      </c>
      <c r="C463" t="s">
        <v>1214</v>
      </c>
      <c r="D463" s="3" t="s">
        <v>143</v>
      </c>
      <c r="E463" s="3" t="s">
        <v>144</v>
      </c>
    </row>
    <row r="464" spans="1:5" x14ac:dyDescent="0.3">
      <c r="A464" t="s">
        <v>1215</v>
      </c>
      <c r="B464" t="s">
        <v>1216</v>
      </c>
      <c r="C464" t="s">
        <v>1217</v>
      </c>
      <c r="D464" s="3" t="s">
        <v>402</v>
      </c>
      <c r="E464" s="3" t="s">
        <v>247</v>
      </c>
    </row>
    <row r="465" spans="1:5" x14ac:dyDescent="0.3">
      <c r="A465" t="s">
        <v>1218</v>
      </c>
      <c r="B465" t="s">
        <v>1216</v>
      </c>
      <c r="C465" t="s">
        <v>1217</v>
      </c>
      <c r="D465" s="3" t="s">
        <v>402</v>
      </c>
      <c r="E465" s="3" t="s">
        <v>247</v>
      </c>
    </row>
    <row r="466" spans="1:5" x14ac:dyDescent="0.3">
      <c r="A466" t="s">
        <v>1219</v>
      </c>
      <c r="B466" t="s">
        <v>1216</v>
      </c>
      <c r="C466" t="s">
        <v>1217</v>
      </c>
      <c r="D466" s="3" t="s">
        <v>402</v>
      </c>
      <c r="E466" s="3" t="s">
        <v>247</v>
      </c>
    </row>
    <row r="467" spans="1:5" x14ac:dyDescent="0.3">
      <c r="A467" t="s">
        <v>1220</v>
      </c>
      <c r="B467" t="s">
        <v>1221</v>
      </c>
      <c r="C467" t="s">
        <v>1222</v>
      </c>
      <c r="D467" s="3" t="s">
        <v>417</v>
      </c>
      <c r="E467" s="3" t="s">
        <v>247</v>
      </c>
    </row>
    <row r="468" spans="1:5" x14ac:dyDescent="0.3">
      <c r="A468" t="s">
        <v>1223</v>
      </c>
      <c r="B468" t="s">
        <v>1221</v>
      </c>
      <c r="C468" t="s">
        <v>1222</v>
      </c>
      <c r="D468" s="3" t="s">
        <v>417</v>
      </c>
      <c r="E468" s="3" t="s">
        <v>247</v>
      </c>
    </row>
    <row r="469" spans="1:5" x14ac:dyDescent="0.3">
      <c r="A469" t="s">
        <v>1224</v>
      </c>
      <c r="B469" t="s">
        <v>1221</v>
      </c>
      <c r="C469" t="s">
        <v>1222</v>
      </c>
      <c r="D469" s="3" t="s">
        <v>417</v>
      </c>
      <c r="E469" s="3" t="s">
        <v>247</v>
      </c>
    </row>
    <row r="470" spans="1:5" x14ac:dyDescent="0.3">
      <c r="A470" t="s">
        <v>1225</v>
      </c>
      <c r="B470" t="s">
        <v>1226</v>
      </c>
      <c r="C470" t="s">
        <v>1227</v>
      </c>
      <c r="D470" s="3" t="s">
        <v>246</v>
      </c>
      <c r="E470" s="3" t="s">
        <v>247</v>
      </c>
    </row>
    <row r="471" spans="1:5" x14ac:dyDescent="0.3">
      <c r="A471" t="s">
        <v>1228</v>
      </c>
      <c r="B471" t="s">
        <v>1229</v>
      </c>
      <c r="C471" t="s">
        <v>1230</v>
      </c>
      <c r="D471" s="3" t="s">
        <v>841</v>
      </c>
      <c r="E471" s="3" t="s">
        <v>48</v>
      </c>
    </row>
    <row r="472" spans="1:5" x14ac:dyDescent="0.3">
      <c r="A472" t="s">
        <v>1231</v>
      </c>
      <c r="B472" t="s">
        <v>1232</v>
      </c>
      <c r="C472" t="s">
        <v>1233</v>
      </c>
      <c r="D472" s="3" t="s">
        <v>1234</v>
      </c>
      <c r="E472" s="3" t="s">
        <v>144</v>
      </c>
    </row>
    <row r="473" spans="1:5" x14ac:dyDescent="0.3">
      <c r="A473" t="s">
        <v>1235</v>
      </c>
      <c r="B473" t="s">
        <v>1236</v>
      </c>
      <c r="C473" t="s">
        <v>1237</v>
      </c>
      <c r="D473" s="3" t="s">
        <v>575</v>
      </c>
      <c r="E473" s="3" t="s">
        <v>247</v>
      </c>
    </row>
    <row r="474" spans="1:5" x14ac:dyDescent="0.3">
      <c r="A474" t="s">
        <v>1238</v>
      </c>
      <c r="B474" t="s">
        <v>1239</v>
      </c>
      <c r="C474" t="s">
        <v>1240</v>
      </c>
      <c r="D474" s="3" t="s">
        <v>830</v>
      </c>
      <c r="E474" s="3" t="s">
        <v>48</v>
      </c>
    </row>
    <row r="475" spans="1:5" x14ac:dyDescent="0.3">
      <c r="A475" t="s">
        <v>1241</v>
      </c>
      <c r="B475" t="s">
        <v>1242</v>
      </c>
      <c r="C475" t="s">
        <v>1243</v>
      </c>
      <c r="D475" s="3" t="s">
        <v>129</v>
      </c>
      <c r="E475" s="3" t="s">
        <v>48</v>
      </c>
    </row>
    <row r="476" spans="1:5" x14ac:dyDescent="0.3">
      <c r="A476" t="s">
        <v>1244</v>
      </c>
      <c r="B476" t="s">
        <v>1245</v>
      </c>
      <c r="C476" t="s">
        <v>1246</v>
      </c>
      <c r="D476" s="3" t="s">
        <v>266</v>
      </c>
      <c r="E476" s="3" t="s">
        <v>267</v>
      </c>
    </row>
    <row r="477" spans="1:5" x14ac:dyDescent="0.3">
      <c r="A477" t="s">
        <v>1247</v>
      </c>
      <c r="B477" t="s">
        <v>1248</v>
      </c>
      <c r="C477" t="s">
        <v>1249</v>
      </c>
      <c r="D477" s="3" t="s">
        <v>23</v>
      </c>
      <c r="E477" s="3" t="s">
        <v>28</v>
      </c>
    </row>
    <row r="478" spans="1:5" x14ac:dyDescent="0.3">
      <c r="A478" t="s">
        <v>1250</v>
      </c>
      <c r="B478" t="s">
        <v>1251</v>
      </c>
      <c r="C478" t="s">
        <v>1252</v>
      </c>
      <c r="D478" s="3" t="s">
        <v>1002</v>
      </c>
      <c r="E478" s="3" t="s">
        <v>28</v>
      </c>
    </row>
    <row r="479" spans="1:5" x14ac:dyDescent="0.3">
      <c r="A479" t="s">
        <v>1253</v>
      </c>
      <c r="B479" t="s">
        <v>1254</v>
      </c>
      <c r="C479" t="s">
        <v>1255</v>
      </c>
      <c r="D479" s="3" t="s">
        <v>75</v>
      </c>
      <c r="E479" s="3" t="s">
        <v>48</v>
      </c>
    </row>
    <row r="480" spans="1:5" x14ac:dyDescent="0.3">
      <c r="A480" t="s">
        <v>1256</v>
      </c>
      <c r="B480" t="s">
        <v>1257</v>
      </c>
      <c r="C480" t="s">
        <v>1258</v>
      </c>
      <c r="D480" s="3" t="s">
        <v>91</v>
      </c>
      <c r="E480" s="3" t="s">
        <v>48</v>
      </c>
    </row>
    <row r="481" spans="1:5" x14ac:dyDescent="0.3">
      <c r="A481" t="s">
        <v>1259</v>
      </c>
      <c r="B481" t="s">
        <v>1260</v>
      </c>
      <c r="C481" t="s">
        <v>1261</v>
      </c>
      <c r="D481" s="3" t="s">
        <v>62</v>
      </c>
      <c r="E481" s="3" t="s">
        <v>48</v>
      </c>
    </row>
    <row r="482" spans="1:5" x14ac:dyDescent="0.3">
      <c r="A482" t="s">
        <v>1262</v>
      </c>
      <c r="B482" t="s">
        <v>1263</v>
      </c>
      <c r="C482" t="s">
        <v>1264</v>
      </c>
      <c r="D482" s="3" t="s">
        <v>200</v>
      </c>
      <c r="E482" s="3" t="s">
        <v>9</v>
      </c>
    </row>
    <row r="483" spans="1:5" x14ac:dyDescent="0.3">
      <c r="A483" t="s">
        <v>1265</v>
      </c>
      <c r="B483" t="s">
        <v>772</v>
      </c>
      <c r="C483" t="s">
        <v>773</v>
      </c>
      <c r="D483" s="3" t="s">
        <v>222</v>
      </c>
      <c r="E483" s="3" t="s">
        <v>223</v>
      </c>
    </row>
    <row r="484" spans="1:5" x14ac:dyDescent="0.3">
      <c r="A484" t="s">
        <v>1266</v>
      </c>
      <c r="B484" t="s">
        <v>1267</v>
      </c>
      <c r="C484" t="s">
        <v>1268</v>
      </c>
      <c r="D484" s="3" t="s">
        <v>1098</v>
      </c>
      <c r="E484" s="3" t="s">
        <v>28</v>
      </c>
    </row>
    <row r="485" spans="1:5" x14ac:dyDescent="0.3">
      <c r="A485" t="s">
        <v>1269</v>
      </c>
      <c r="B485" t="s">
        <v>1270</v>
      </c>
      <c r="C485" t="s">
        <v>1271</v>
      </c>
      <c r="D485" s="3" t="s">
        <v>787</v>
      </c>
      <c r="E485" s="3" t="s">
        <v>48</v>
      </c>
    </row>
    <row r="486" spans="1:5" x14ac:dyDescent="0.3">
      <c r="A486" t="s">
        <v>1272</v>
      </c>
      <c r="B486" t="s">
        <v>1273</v>
      </c>
      <c r="C486" t="s">
        <v>1274</v>
      </c>
      <c r="D486" s="3" t="s">
        <v>54</v>
      </c>
      <c r="E486" s="3" t="s">
        <v>48</v>
      </c>
    </row>
    <row r="487" spans="1:5" x14ac:dyDescent="0.3">
      <c r="A487" t="s">
        <v>1275</v>
      </c>
      <c r="B487" t="s">
        <v>1273</v>
      </c>
      <c r="C487" t="s">
        <v>1274</v>
      </c>
      <c r="D487" s="3" t="s">
        <v>54</v>
      </c>
      <c r="E487" s="3" t="s">
        <v>48</v>
      </c>
    </row>
    <row r="488" spans="1:5" x14ac:dyDescent="0.3">
      <c r="A488" t="s">
        <v>1276</v>
      </c>
      <c r="B488" t="s">
        <v>1277</v>
      </c>
      <c r="C488" t="s">
        <v>1278</v>
      </c>
      <c r="D488" s="3" t="s">
        <v>95</v>
      </c>
      <c r="E488" s="3" t="s">
        <v>14</v>
      </c>
    </row>
    <row r="489" spans="1:5" x14ac:dyDescent="0.3">
      <c r="A489" t="s">
        <v>1279</v>
      </c>
      <c r="B489" t="s">
        <v>1280</v>
      </c>
      <c r="C489" t="s">
        <v>1281</v>
      </c>
      <c r="D489" s="3" t="s">
        <v>825</v>
      </c>
      <c r="E489" s="3" t="s">
        <v>28</v>
      </c>
    </row>
    <row r="490" spans="1:5" x14ac:dyDescent="0.3">
      <c r="A490" t="s">
        <v>1282</v>
      </c>
      <c r="B490" t="s">
        <v>1280</v>
      </c>
      <c r="C490" t="s">
        <v>1281</v>
      </c>
      <c r="D490" s="3" t="s">
        <v>825</v>
      </c>
      <c r="E490" s="3" t="s">
        <v>28</v>
      </c>
    </row>
    <row r="491" spans="1:5" x14ac:dyDescent="0.3">
      <c r="A491" t="s">
        <v>1283</v>
      </c>
      <c r="B491" t="s">
        <v>1284</v>
      </c>
      <c r="C491" t="s">
        <v>1285</v>
      </c>
      <c r="D491" s="3" t="s">
        <v>122</v>
      </c>
      <c r="E491" s="3" t="s">
        <v>122</v>
      </c>
    </row>
    <row r="492" spans="1:5" x14ac:dyDescent="0.3">
      <c r="A492" t="s">
        <v>1286</v>
      </c>
      <c r="B492" t="s">
        <v>1287</v>
      </c>
      <c r="C492" t="s">
        <v>1288</v>
      </c>
      <c r="D492" s="3" t="s">
        <v>91</v>
      </c>
      <c r="E492" s="3" t="s">
        <v>48</v>
      </c>
    </row>
    <row r="493" spans="1:5" x14ac:dyDescent="0.3">
      <c r="A493" t="s">
        <v>1289</v>
      </c>
      <c r="B493" t="s">
        <v>1290</v>
      </c>
      <c r="C493" t="s">
        <v>1291</v>
      </c>
      <c r="D493" s="3" t="s">
        <v>800</v>
      </c>
      <c r="E493" s="3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5"/>
  <sheetViews>
    <sheetView workbookViewId="0">
      <selection activeCell="D10" sqref="D10"/>
    </sheetView>
  </sheetViews>
  <sheetFormatPr defaultRowHeight="14.4" x14ac:dyDescent="0.3"/>
  <cols>
    <col min="1" max="1" width="15" customWidth="1"/>
    <col min="2" max="2" width="50" customWidth="1"/>
    <col min="3" max="3" width="25" customWidth="1"/>
    <col min="4" max="4" width="25.109375" customWidth="1"/>
    <col min="5" max="5" width="2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2707</v>
      </c>
      <c r="E1" s="1" t="s">
        <v>3</v>
      </c>
    </row>
    <row r="2" spans="1:5" x14ac:dyDescent="0.3">
      <c r="A2" t="s">
        <v>1298</v>
      </c>
      <c r="B2" t="s">
        <v>1299</v>
      </c>
      <c r="C2" t="s">
        <v>1300</v>
      </c>
      <c r="D2" s="6" t="str">
        <f>IFERROR(VLOOKUP(A2,base_fiis_inv10!$A$1:$C$282,2,FALSE),"Não encontrado")</f>
        <v>Não encontrado</v>
      </c>
      <c r="E2" s="6" t="str">
        <f>IFERROR(VLOOKUP(A2,base_fiis_inv10!$A$1:$C$282,3,FALSE),"Não encontrado")</f>
        <v>Não encontrado</v>
      </c>
    </row>
    <row r="3" spans="1:5" x14ac:dyDescent="0.3">
      <c r="A3" t="s">
        <v>1301</v>
      </c>
      <c r="B3" t="s">
        <v>1302</v>
      </c>
      <c r="C3" t="s">
        <v>1303</v>
      </c>
      <c r="D3" s="6" t="str">
        <f>IFERROR(VLOOKUP(A3,base_fiis_inv10!$A$1:$C$282,2,FALSE),"Não encontrado")</f>
        <v>Fundo de papel</v>
      </c>
      <c r="E3" s="6" t="str">
        <f>IFERROR(VLOOKUP(A3,base_fiis_inv10!$A$1:$C$282,3,FALSE),"Não encontrado")</f>
        <v>Títulos e Valores Mobiliários</v>
      </c>
    </row>
    <row r="4" spans="1:5" x14ac:dyDescent="0.3">
      <c r="A4" t="s">
        <v>1304</v>
      </c>
      <c r="B4" t="s">
        <v>1305</v>
      </c>
      <c r="C4" t="s">
        <v>1306</v>
      </c>
      <c r="D4" s="6" t="str">
        <f>IFERROR(VLOOKUP(A4,base_fiis_inv10!$A$1:$C$282,2,FALSE),"Não encontrado")</f>
        <v>Fundo de Tijolo</v>
      </c>
      <c r="E4" s="6" t="str">
        <f>IFERROR(VLOOKUP(A4,base_fiis_inv10!$A$1:$C$282,3,FALSE),"Não encontrado")</f>
        <v>Lajes Corporativas</v>
      </c>
    </row>
    <row r="5" spans="1:5" x14ac:dyDescent="0.3">
      <c r="A5" t="s">
        <v>1307</v>
      </c>
      <c r="B5" t="s">
        <v>1308</v>
      </c>
      <c r="C5" t="s">
        <v>1309</v>
      </c>
      <c r="D5" s="6" t="str">
        <f>IFERROR(VLOOKUP(A5,base_fiis_inv10!$A$1:$C$282,2,FALSE),"Não encontrado")</f>
        <v>Fundo de Tijolo</v>
      </c>
      <c r="E5" s="6" t="str">
        <f>IFERROR(VLOOKUP(A5,base_fiis_inv10!$A$1:$C$282,3,FALSE),"Não encontrado")</f>
        <v>Shoppings / Varejo</v>
      </c>
    </row>
    <row r="6" spans="1:5" x14ac:dyDescent="0.3">
      <c r="A6" t="s">
        <v>1310</v>
      </c>
      <c r="B6" t="s">
        <v>1311</v>
      </c>
      <c r="C6" t="s">
        <v>1312</v>
      </c>
      <c r="D6" s="6" t="str">
        <f>IFERROR(VLOOKUP(A6,base_fiis_inv10!$A$1:$C$282,2,FALSE),"Não encontrado")</f>
        <v>Não encontrado</v>
      </c>
      <c r="E6" s="6" t="str">
        <f>IFERROR(VLOOKUP(A6,base_fiis_inv10!$A$1:$C$282,3,FALSE),"Não encontrado")</f>
        <v>Não encontrado</v>
      </c>
    </row>
    <row r="7" spans="1:5" x14ac:dyDescent="0.3">
      <c r="A7" t="s">
        <v>1313</v>
      </c>
      <c r="B7" t="s">
        <v>1314</v>
      </c>
      <c r="C7" t="s">
        <v>1315</v>
      </c>
      <c r="D7" s="6" t="str">
        <f>IFERROR(VLOOKUP(A7,base_fiis_inv10!$A$1:$C$282,2,FALSE),"Não encontrado")</f>
        <v>Fundo de papel</v>
      </c>
      <c r="E7" s="6" t="str">
        <f>IFERROR(VLOOKUP(A7,base_fiis_inv10!$A$1:$C$282,3,FALSE),"Não encontrado")</f>
        <v>Títulos e Valores Mobiliários</v>
      </c>
    </row>
    <row r="8" spans="1:5" x14ac:dyDescent="0.3">
      <c r="A8" t="s">
        <v>1316</v>
      </c>
      <c r="B8" t="s">
        <v>1317</v>
      </c>
      <c r="C8" t="s">
        <v>1318</v>
      </c>
      <c r="D8" s="6" t="str">
        <f>IFERROR(VLOOKUP(A8,base_fiis_inv10!$A$1:$C$282,2,FALSE),"Não encontrado")</f>
        <v>Fundo de fundos</v>
      </c>
      <c r="E8" s="6" t="str">
        <f>IFERROR(VLOOKUP(A8,base_fiis_inv10!$A$1:$C$282,3,FALSE),"Não encontrado")</f>
        <v>Títulos e Valores Mobiliários</v>
      </c>
    </row>
    <row r="9" spans="1:5" x14ac:dyDescent="0.3">
      <c r="A9" t="s">
        <v>1319</v>
      </c>
      <c r="B9" t="s">
        <v>1320</v>
      </c>
      <c r="C9" t="s">
        <v>1321</v>
      </c>
      <c r="D9" s="6" t="str">
        <f>IFERROR(VLOOKUP(A9,base_fiis_inv10!$A$1:$C$282,2,FALSE),"Não encontrado")</f>
        <v>Fundo de Tijolo</v>
      </c>
      <c r="E9" s="6" t="str">
        <f>IFERROR(VLOOKUP(A9,base_fiis_inv10!$A$1:$C$282,3,FALSE),"Não encontrado")</f>
        <v>Híbrido</v>
      </c>
    </row>
    <row r="10" spans="1:5" x14ac:dyDescent="0.3">
      <c r="A10" t="s">
        <v>1322</v>
      </c>
      <c r="B10" t="s">
        <v>1323</v>
      </c>
      <c r="C10" t="s">
        <v>1324</v>
      </c>
      <c r="D10" s="6" t="str">
        <f>IFERROR(VLOOKUP(A10,base_fiis_inv10!$A$1:$C$282,2,FALSE),"Não encontrado")</f>
        <v>Não encontrado</v>
      </c>
      <c r="E10" s="6" t="str">
        <f>IFERROR(VLOOKUP(A10,base_fiis_inv10!$A$1:$C$282,3,FALSE),"Não encontrado")</f>
        <v>Não encontrado</v>
      </c>
    </row>
    <row r="11" spans="1:5" x14ac:dyDescent="0.3">
      <c r="A11" t="s">
        <v>1325</v>
      </c>
      <c r="B11" t="s">
        <v>1326</v>
      </c>
      <c r="C11" t="s">
        <v>1327</v>
      </c>
      <c r="D11" s="6" t="str">
        <f>IFERROR(VLOOKUP(A11,base_fiis_inv10!$A$1:$C$282,2,FALSE),"Não encontrado")</f>
        <v>Não encontrado</v>
      </c>
      <c r="E11" s="6" t="str">
        <f>IFERROR(VLOOKUP(A11,base_fiis_inv10!$A$1:$C$282,3,FALSE),"Não encontrado")</f>
        <v>Não encontrado</v>
      </c>
    </row>
    <row r="12" spans="1:5" x14ac:dyDescent="0.3">
      <c r="A12" t="s">
        <v>1328</v>
      </c>
      <c r="B12" t="s">
        <v>1329</v>
      </c>
      <c r="C12" t="s">
        <v>1330</v>
      </c>
      <c r="D12" s="6" t="str">
        <f>IFERROR(VLOOKUP(A12,base_fiis_inv10!$A$1:$C$282,2,FALSE),"Não encontrado")</f>
        <v>Fundo de Tijolo</v>
      </c>
      <c r="E12" s="6" t="str">
        <f>IFERROR(VLOOKUP(A12,base_fiis_inv10!$A$1:$C$282,3,FALSE),"Não encontrado")</f>
        <v>Shoppings / Varejo</v>
      </c>
    </row>
    <row r="13" spans="1:5" x14ac:dyDescent="0.3">
      <c r="A13" t="s">
        <v>1331</v>
      </c>
      <c r="B13" t="s">
        <v>1332</v>
      </c>
      <c r="C13" t="s">
        <v>1333</v>
      </c>
      <c r="D13" s="6" t="str">
        <f>IFERROR(VLOOKUP(A13,base_fiis_inv10!$A$1:$C$282,2,FALSE),"Não encontrado")</f>
        <v>Não encontrado</v>
      </c>
      <c r="E13" s="6" t="str">
        <f>IFERROR(VLOOKUP(A13,base_fiis_inv10!$A$1:$C$282,3,FALSE),"Não encontrado")</f>
        <v>Não encontrado</v>
      </c>
    </row>
    <row r="14" spans="1:5" x14ac:dyDescent="0.3">
      <c r="A14" t="s">
        <v>1334</v>
      </c>
      <c r="B14" t="s">
        <v>1335</v>
      </c>
      <c r="C14" t="s">
        <v>1336</v>
      </c>
      <c r="D14" s="6" t="str">
        <f>IFERROR(VLOOKUP(A14,base_fiis_inv10!$A$1:$C$282,2,FALSE),"Não encontrado")</f>
        <v>Não encontrado</v>
      </c>
      <c r="E14" s="6" t="str">
        <f>IFERROR(VLOOKUP(A14,base_fiis_inv10!$A$1:$C$282,3,FALSE),"Não encontrado")</f>
        <v>Não encontrado</v>
      </c>
    </row>
    <row r="15" spans="1:5" x14ac:dyDescent="0.3">
      <c r="A15" t="s">
        <v>1337</v>
      </c>
      <c r="B15" t="s">
        <v>1338</v>
      </c>
      <c r="C15" t="s">
        <v>1339</v>
      </c>
      <c r="D15" s="6" t="str">
        <f>IFERROR(VLOOKUP(A15,base_fiis_inv10!$A$1:$C$282,2,FALSE),"Não encontrado")</f>
        <v>Fundo de papel</v>
      </c>
      <c r="E15" s="6" t="str">
        <f>IFERROR(VLOOKUP(A15,base_fiis_inv10!$A$1:$C$282,3,FALSE),"Não encontrado")</f>
        <v>Títulos e Valores Mobiliários</v>
      </c>
    </row>
    <row r="16" spans="1:5" x14ac:dyDescent="0.3">
      <c r="A16" t="s">
        <v>1340</v>
      </c>
      <c r="B16" t="s">
        <v>1341</v>
      </c>
      <c r="C16" t="s">
        <v>1342</v>
      </c>
      <c r="D16" s="6" t="str">
        <f>IFERROR(VLOOKUP(A16,base_fiis_inv10!$A$1:$C$282,2,FALSE),"Não encontrado")</f>
        <v>Não encontrado</v>
      </c>
      <c r="E16" s="6" t="str">
        <f>IFERROR(VLOOKUP(A16,base_fiis_inv10!$A$1:$C$282,3,FALSE),"Não encontrado")</f>
        <v>Não encontrado</v>
      </c>
    </row>
    <row r="17" spans="1:5" x14ac:dyDescent="0.3">
      <c r="A17" t="s">
        <v>1343</v>
      </c>
      <c r="B17" t="s">
        <v>1344</v>
      </c>
      <c r="C17" t="s">
        <v>1345</v>
      </c>
      <c r="D17" s="6" t="str">
        <f>IFERROR(VLOOKUP(A17,base_fiis_inv10!$A$1:$C$282,2,FALSE),"Não encontrado")</f>
        <v>Não encontrado</v>
      </c>
      <c r="E17" s="6" t="str">
        <f>IFERROR(VLOOKUP(A17,base_fiis_inv10!$A$1:$C$282,3,FALSE),"Não encontrado")</f>
        <v>Não encontrado</v>
      </c>
    </row>
    <row r="18" spans="1:5" x14ac:dyDescent="0.3">
      <c r="A18" t="s">
        <v>1346</v>
      </c>
      <c r="B18" t="s">
        <v>1347</v>
      </c>
      <c r="C18" t="s">
        <v>1348</v>
      </c>
      <c r="D18" s="6" t="str">
        <f>IFERROR(VLOOKUP(A18,base_fiis_inv10!$A$1:$C$282,2,FALSE),"Não encontrado")</f>
        <v>Fundo de desenvolvimento</v>
      </c>
      <c r="E18" s="6" t="str">
        <f>IFERROR(VLOOKUP(A18,base_fiis_inv10!$A$1:$C$282,3,FALSE),"Não encontrado")</f>
        <v>Híbrido</v>
      </c>
    </row>
    <row r="19" spans="1:5" x14ac:dyDescent="0.3">
      <c r="A19" t="s">
        <v>1349</v>
      </c>
      <c r="B19" t="s">
        <v>1350</v>
      </c>
      <c r="C19" t="s">
        <v>1351</v>
      </c>
      <c r="D19" s="6" t="str">
        <f>IFERROR(VLOOKUP(A19,base_fiis_inv10!$A$1:$C$282,2,FALSE),"Não encontrado")</f>
        <v>Não encontrado</v>
      </c>
      <c r="E19" s="6" t="str">
        <f>IFERROR(VLOOKUP(A19,base_fiis_inv10!$A$1:$C$282,3,FALSE),"Não encontrado")</f>
        <v>Não encontrado</v>
      </c>
    </row>
    <row r="20" spans="1:5" x14ac:dyDescent="0.3">
      <c r="A20" t="s">
        <v>1352</v>
      </c>
      <c r="B20" t="s">
        <v>1353</v>
      </c>
      <c r="C20" t="s">
        <v>1354</v>
      </c>
      <c r="D20" s="6" t="str">
        <f>IFERROR(VLOOKUP(A20,base_fiis_inv10!$A$1:$C$282,2,FALSE),"Não encontrado")</f>
        <v>Não encontrado</v>
      </c>
      <c r="E20" s="6" t="str">
        <f>IFERROR(VLOOKUP(A20,base_fiis_inv10!$A$1:$C$282,3,FALSE),"Não encontrado")</f>
        <v>Não encontrado</v>
      </c>
    </row>
    <row r="21" spans="1:5" x14ac:dyDescent="0.3">
      <c r="A21" t="s">
        <v>1355</v>
      </c>
      <c r="B21" t="s">
        <v>1356</v>
      </c>
      <c r="C21" t="s">
        <v>1357</v>
      </c>
      <c r="D21" s="6" t="str">
        <f>IFERROR(VLOOKUP(A21,base_fiis_inv10!$A$1:$C$282,2,FALSE),"Não encontrado")</f>
        <v>Fundo de papel</v>
      </c>
      <c r="E21" s="6" t="str">
        <f>IFERROR(VLOOKUP(A21,base_fiis_inv10!$A$1:$C$282,3,FALSE),"Não encontrado")</f>
        <v>Títulos e Valores Mobiliários</v>
      </c>
    </row>
    <row r="22" spans="1:5" x14ac:dyDescent="0.3">
      <c r="A22" t="s">
        <v>1358</v>
      </c>
      <c r="B22" t="s">
        <v>1359</v>
      </c>
      <c r="C22" t="s">
        <v>1360</v>
      </c>
      <c r="D22" s="6" t="str">
        <f>IFERROR(VLOOKUP(A22,base_fiis_inv10!$A$1:$C$282,2,FALSE),"Não encontrado")</f>
        <v>Não encontrado</v>
      </c>
      <c r="E22" s="6" t="str">
        <f>IFERROR(VLOOKUP(A22,base_fiis_inv10!$A$1:$C$282,3,FALSE),"Não encontrado")</f>
        <v>Não encontrado</v>
      </c>
    </row>
    <row r="23" spans="1:5" x14ac:dyDescent="0.3">
      <c r="A23" t="s">
        <v>1361</v>
      </c>
      <c r="B23" t="s">
        <v>1359</v>
      </c>
      <c r="C23" t="s">
        <v>1360</v>
      </c>
      <c r="D23" s="6" t="str">
        <f>IFERROR(VLOOKUP(A23,base_fiis_inv10!$A$1:$C$282,2,FALSE),"Não encontrado")</f>
        <v>Não encontrado</v>
      </c>
      <c r="E23" s="6" t="str">
        <f>IFERROR(VLOOKUP(A23,base_fiis_inv10!$A$1:$C$282,3,FALSE),"Não encontrado")</f>
        <v>Não encontrado</v>
      </c>
    </row>
    <row r="24" spans="1:5" x14ac:dyDescent="0.3">
      <c r="A24" t="s">
        <v>1362</v>
      </c>
      <c r="B24" t="s">
        <v>1363</v>
      </c>
      <c r="C24" t="s">
        <v>1364</v>
      </c>
      <c r="D24" s="6" t="str">
        <f>IFERROR(VLOOKUP(A24,base_fiis_inv10!$A$1:$C$282,2,FALSE),"Não encontrado")</f>
        <v>Fundo de fundos</v>
      </c>
      <c r="E24" s="6" t="str">
        <f>IFERROR(VLOOKUP(A24,base_fiis_inv10!$A$1:$C$282,3,FALSE),"Não encontrado")</f>
        <v>Títulos e Valores Mobiliários</v>
      </c>
    </row>
    <row r="25" spans="1:5" x14ac:dyDescent="0.3">
      <c r="A25" t="s">
        <v>1365</v>
      </c>
      <c r="B25" t="s">
        <v>1366</v>
      </c>
      <c r="C25" t="s">
        <v>1367</v>
      </c>
      <c r="D25" s="6" t="str">
        <f>IFERROR(VLOOKUP(A25,base_fiis_inv10!$A$1:$C$282,2,FALSE),"Não encontrado")</f>
        <v>Fundo de Tijolo</v>
      </c>
      <c r="E25" s="6" t="str">
        <f>IFERROR(VLOOKUP(A25,base_fiis_inv10!$A$1:$C$282,3,FALSE),"Não encontrado")</f>
        <v>Shoppings / Varejo</v>
      </c>
    </row>
    <row r="26" spans="1:5" x14ac:dyDescent="0.3">
      <c r="A26" t="s">
        <v>1368</v>
      </c>
      <c r="B26" t="s">
        <v>1369</v>
      </c>
      <c r="C26" t="s">
        <v>1370</v>
      </c>
      <c r="D26" s="6" t="str">
        <f>IFERROR(VLOOKUP(A26,base_fiis_inv10!$A$1:$C$282,2,FALSE),"Não encontrado")</f>
        <v>Fundo de Tijolo</v>
      </c>
      <c r="E26" s="6" t="str">
        <f>IFERROR(VLOOKUP(A26,base_fiis_inv10!$A$1:$C$282,3,FALSE),"Não encontrado")</f>
        <v>Agências bancárias</v>
      </c>
    </row>
    <row r="27" spans="1:5" x14ac:dyDescent="0.3">
      <c r="A27" t="s">
        <v>1371</v>
      </c>
      <c r="B27" t="s">
        <v>1372</v>
      </c>
      <c r="C27" t="s">
        <v>1373</v>
      </c>
      <c r="D27" s="6" t="str">
        <f>IFERROR(VLOOKUP(A27,base_fiis_inv10!$A$1:$C$282,2,FALSE),"Não encontrado")</f>
        <v>Não encontrado</v>
      </c>
      <c r="E27" s="6" t="str">
        <f>IFERROR(VLOOKUP(A27,base_fiis_inv10!$A$1:$C$282,3,FALSE),"Não encontrado")</f>
        <v>Não encontrado</v>
      </c>
    </row>
    <row r="28" spans="1:5" x14ac:dyDescent="0.3">
      <c r="A28" t="s">
        <v>1374</v>
      </c>
      <c r="B28" t="s">
        <v>1375</v>
      </c>
      <c r="C28" t="s">
        <v>1376</v>
      </c>
      <c r="D28" s="6" t="str">
        <f>IFERROR(VLOOKUP(A28,base_fiis_inv10!$A$1:$C$282,2,FALSE),"Não encontrado")</f>
        <v>Fundo de fundos</v>
      </c>
      <c r="E28" s="6" t="str">
        <f>IFERROR(VLOOKUP(A28,base_fiis_inv10!$A$1:$C$282,3,FALSE),"Não encontrado")</f>
        <v>Títulos e Valores Mobiliários</v>
      </c>
    </row>
    <row r="29" spans="1:5" x14ac:dyDescent="0.3">
      <c r="A29" t="s">
        <v>1377</v>
      </c>
      <c r="B29" t="s">
        <v>1378</v>
      </c>
      <c r="C29" t="s">
        <v>1379</v>
      </c>
      <c r="D29" s="6" t="str">
        <f>IFERROR(VLOOKUP(A29,base_fiis_inv10!$A$1:$C$282,2,FALSE),"Não encontrado")</f>
        <v>Fundo de papel</v>
      </c>
      <c r="E29" s="6" t="str">
        <f>IFERROR(VLOOKUP(A29,base_fiis_inv10!$A$1:$C$282,3,FALSE),"Não encontrado")</f>
        <v>Títulos e Valores Mobiliários</v>
      </c>
    </row>
    <row r="30" spans="1:5" x14ac:dyDescent="0.3">
      <c r="A30" t="s">
        <v>1380</v>
      </c>
      <c r="B30" t="s">
        <v>1381</v>
      </c>
      <c r="C30" t="s">
        <v>1382</v>
      </c>
      <c r="D30" s="6" t="str">
        <f>IFERROR(VLOOKUP(A30,base_fiis_inv10!$A$1:$C$282,2,FALSE),"Não encontrado")</f>
        <v>Fundo de fundos</v>
      </c>
      <c r="E30" s="6" t="str">
        <f>IFERROR(VLOOKUP(A30,base_fiis_inv10!$A$1:$C$282,3,FALSE),"Não encontrado")</f>
        <v>Títulos e Valores Mobiliários</v>
      </c>
    </row>
    <row r="31" spans="1:5" x14ac:dyDescent="0.3">
      <c r="A31" t="s">
        <v>1383</v>
      </c>
      <c r="B31" t="s">
        <v>1384</v>
      </c>
      <c r="C31" t="s">
        <v>1385</v>
      </c>
      <c r="D31" s="6" t="str">
        <f>IFERROR(VLOOKUP(A31,base_fiis_inv10!$A$1:$C$282,2,FALSE),"Não encontrado")</f>
        <v>Não encontrado</v>
      </c>
      <c r="E31" s="6" t="str">
        <f>IFERROR(VLOOKUP(A31,base_fiis_inv10!$A$1:$C$282,3,FALSE),"Não encontrado")</f>
        <v>Não encontrado</v>
      </c>
    </row>
    <row r="32" spans="1:5" x14ac:dyDescent="0.3">
      <c r="A32" t="s">
        <v>1386</v>
      </c>
      <c r="B32" t="s">
        <v>1387</v>
      </c>
      <c r="C32" t="s">
        <v>1388</v>
      </c>
      <c r="D32" s="6" t="str">
        <f>IFERROR(VLOOKUP(A32,base_fiis_inv10!$A$1:$C$282,2,FALSE),"Não encontrado")</f>
        <v>Não encontrado</v>
      </c>
      <c r="E32" s="6" t="str">
        <f>IFERROR(VLOOKUP(A32,base_fiis_inv10!$A$1:$C$282,3,FALSE),"Não encontrado")</f>
        <v>Não encontrado</v>
      </c>
    </row>
    <row r="33" spans="1:5" x14ac:dyDescent="0.3">
      <c r="A33" t="s">
        <v>1389</v>
      </c>
      <c r="B33" t="s">
        <v>1390</v>
      </c>
      <c r="C33" t="s">
        <v>1391</v>
      </c>
      <c r="D33" s="6" t="str">
        <f>IFERROR(VLOOKUP(A33,base_fiis_inv10!$A$1:$C$282,2,FALSE),"Não encontrado")</f>
        <v>Não encontrado</v>
      </c>
      <c r="E33" s="6" t="str">
        <f>IFERROR(VLOOKUP(A33,base_fiis_inv10!$A$1:$C$282,3,FALSE),"Não encontrado")</f>
        <v>Não encontrado</v>
      </c>
    </row>
    <row r="34" spans="1:5" x14ac:dyDescent="0.3">
      <c r="A34" t="s">
        <v>1392</v>
      </c>
      <c r="B34" t="s">
        <v>1393</v>
      </c>
      <c r="C34" t="s">
        <v>1394</v>
      </c>
      <c r="D34" s="6" t="str">
        <f>IFERROR(VLOOKUP(A34,base_fiis_inv10!$A$1:$C$282,2,FALSE),"Não encontrado")</f>
        <v>Fundo misto</v>
      </c>
      <c r="E34" s="6" t="str">
        <f>IFERROR(VLOOKUP(A34,base_fiis_inv10!$A$1:$C$282,3,FALSE),"Não encontrado")</f>
        <v>Lajes Corporativas</v>
      </c>
    </row>
    <row r="35" spans="1:5" x14ac:dyDescent="0.3">
      <c r="A35" t="s">
        <v>1395</v>
      </c>
      <c r="B35" t="s">
        <v>1396</v>
      </c>
      <c r="C35" t="s">
        <v>1397</v>
      </c>
      <c r="D35" s="6" t="str">
        <f>IFERROR(VLOOKUP(A35,base_fiis_inv10!$A$1:$C$282,2,FALSE),"Não encontrado")</f>
        <v>Não encontrado</v>
      </c>
      <c r="E35" s="6" t="str">
        <f>IFERROR(VLOOKUP(A35,base_fiis_inv10!$A$1:$C$282,3,FALSE),"Não encontrado")</f>
        <v>Não encontrado</v>
      </c>
    </row>
    <row r="36" spans="1:5" x14ac:dyDescent="0.3">
      <c r="A36" t="s">
        <v>1398</v>
      </c>
      <c r="B36" t="s">
        <v>1399</v>
      </c>
      <c r="C36" t="s">
        <v>1400</v>
      </c>
      <c r="D36" s="6" t="str">
        <f>IFERROR(VLOOKUP(A36,base_fiis_inv10!$A$1:$C$282,2,FALSE),"Não encontrado")</f>
        <v>Fundo de Tijolo</v>
      </c>
      <c r="E36" s="6" t="str">
        <f>IFERROR(VLOOKUP(A36,base_fiis_inv10!$A$1:$C$282,3,FALSE),"Não encontrado")</f>
        <v>Outros</v>
      </c>
    </row>
    <row r="37" spans="1:5" x14ac:dyDescent="0.3">
      <c r="A37" t="s">
        <v>1401</v>
      </c>
      <c r="B37" t="s">
        <v>1402</v>
      </c>
      <c r="C37" t="s">
        <v>1403</v>
      </c>
      <c r="D37" s="6" t="str">
        <f>IFERROR(VLOOKUP(A37,base_fiis_inv10!$A$1:$C$282,2,FALSE),"Não encontrado")</f>
        <v>Não encontrado</v>
      </c>
      <c r="E37" s="6" t="str">
        <f>IFERROR(VLOOKUP(A37,base_fiis_inv10!$A$1:$C$282,3,FALSE),"Não encontrado")</f>
        <v>Não encontrado</v>
      </c>
    </row>
    <row r="38" spans="1:5" x14ac:dyDescent="0.3">
      <c r="A38" t="s">
        <v>1404</v>
      </c>
      <c r="B38" t="s">
        <v>1405</v>
      </c>
      <c r="C38" t="s">
        <v>1406</v>
      </c>
      <c r="D38" s="6" t="str">
        <f>IFERROR(VLOOKUP(A38,base_fiis_inv10!$A$1:$C$282,2,FALSE),"Não encontrado")</f>
        <v>Não encontrado</v>
      </c>
      <c r="E38" s="6" t="str">
        <f>IFERROR(VLOOKUP(A38,base_fiis_inv10!$A$1:$C$282,3,FALSE),"Não encontrado")</f>
        <v>Não encontrado</v>
      </c>
    </row>
    <row r="39" spans="1:5" x14ac:dyDescent="0.3">
      <c r="A39" t="s">
        <v>1407</v>
      </c>
      <c r="B39" t="s">
        <v>1408</v>
      </c>
      <c r="C39" t="s">
        <v>1409</v>
      </c>
      <c r="D39" s="6" t="str">
        <f>IFERROR(VLOOKUP(A39,base_fiis_inv10!$A$1:$C$282,2,FALSE),"Não encontrado")</f>
        <v>Não encontrado</v>
      </c>
      <c r="E39" s="6" t="str">
        <f>IFERROR(VLOOKUP(A39,base_fiis_inv10!$A$1:$C$282,3,FALSE),"Não encontrado")</f>
        <v>Não encontrado</v>
      </c>
    </row>
    <row r="40" spans="1:5" x14ac:dyDescent="0.3">
      <c r="A40" t="s">
        <v>1410</v>
      </c>
      <c r="B40" t="s">
        <v>1411</v>
      </c>
      <c r="C40" t="s">
        <v>1412</v>
      </c>
      <c r="D40" s="6" t="str">
        <f>IFERROR(VLOOKUP(A40,base_fiis_inv10!$A$1:$C$282,2,FALSE),"Não encontrado")</f>
        <v>Não encontrado</v>
      </c>
      <c r="E40" s="6" t="str">
        <f>IFERROR(VLOOKUP(A40,base_fiis_inv10!$A$1:$C$282,3,FALSE),"Não encontrado")</f>
        <v>Não encontrado</v>
      </c>
    </row>
    <row r="41" spans="1:5" x14ac:dyDescent="0.3">
      <c r="A41" t="s">
        <v>1413</v>
      </c>
      <c r="B41" t="s">
        <v>1414</v>
      </c>
      <c r="C41" t="s">
        <v>1415</v>
      </c>
      <c r="D41" s="6" t="str">
        <f>IFERROR(VLOOKUP(A41,base_fiis_inv10!$A$1:$C$282,2,FALSE),"Não encontrado")</f>
        <v>Não encontrado</v>
      </c>
      <c r="E41" s="6" t="str">
        <f>IFERROR(VLOOKUP(A41,base_fiis_inv10!$A$1:$C$282,3,FALSE),"Não encontrado")</f>
        <v>Não encontrado</v>
      </c>
    </row>
    <row r="42" spans="1:5" x14ac:dyDescent="0.3">
      <c r="A42" t="s">
        <v>1416</v>
      </c>
      <c r="B42" t="s">
        <v>1417</v>
      </c>
      <c r="C42" t="s">
        <v>1418</v>
      </c>
      <c r="D42" s="6" t="str">
        <f>IFERROR(VLOOKUP(A42,base_fiis_inv10!$A$1:$C$282,2,FALSE),"Não encontrado")</f>
        <v>Fundo de fundos</v>
      </c>
      <c r="E42" s="6" t="str">
        <f>IFERROR(VLOOKUP(A42,base_fiis_inv10!$A$1:$C$282,3,FALSE),"Não encontrado")</f>
        <v>Títulos e Valores Mobiliários</v>
      </c>
    </row>
    <row r="43" spans="1:5" x14ac:dyDescent="0.3">
      <c r="A43" t="s">
        <v>1419</v>
      </c>
      <c r="B43" t="s">
        <v>1420</v>
      </c>
      <c r="C43" t="s">
        <v>1421</v>
      </c>
      <c r="D43" s="6" t="str">
        <f>IFERROR(VLOOKUP(A43,base_fiis_inv10!$A$1:$C$282,2,FALSE),"Não encontrado")</f>
        <v>Fundo de Tijolo</v>
      </c>
      <c r="E43" s="6" t="str">
        <f>IFERROR(VLOOKUP(A43,base_fiis_inv10!$A$1:$C$282,3,FALSE),"Não encontrado")</f>
        <v>Shoppings / Varejo</v>
      </c>
    </row>
    <row r="44" spans="1:5" x14ac:dyDescent="0.3">
      <c r="A44" t="s">
        <v>1422</v>
      </c>
      <c r="B44" t="s">
        <v>1423</v>
      </c>
      <c r="C44" t="s">
        <v>1424</v>
      </c>
      <c r="D44" s="6" t="str">
        <f>IFERROR(VLOOKUP(A44,base_fiis_inv10!$A$1:$C$282,2,FALSE),"Não encontrado")</f>
        <v>Não encontrado</v>
      </c>
      <c r="E44" s="6" t="str">
        <f>IFERROR(VLOOKUP(A44,base_fiis_inv10!$A$1:$C$282,3,FALSE),"Não encontrado")</f>
        <v>Não encontrado</v>
      </c>
    </row>
    <row r="45" spans="1:5" x14ac:dyDescent="0.3">
      <c r="A45" t="s">
        <v>1425</v>
      </c>
      <c r="B45" t="s">
        <v>1426</v>
      </c>
      <c r="C45" t="s">
        <v>1427</v>
      </c>
      <c r="D45" s="6" t="str">
        <f>IFERROR(VLOOKUP(A45,base_fiis_inv10!$A$1:$C$282,2,FALSE),"Não encontrado")</f>
        <v>Fundo de Tijolo</v>
      </c>
      <c r="E45" s="6" t="str">
        <f>IFERROR(VLOOKUP(A45,base_fiis_inv10!$A$1:$C$282,3,FALSE),"Não encontrado")</f>
        <v>Logístico / Indústria / Galpões</v>
      </c>
    </row>
    <row r="46" spans="1:5" x14ac:dyDescent="0.3">
      <c r="A46" t="s">
        <v>1428</v>
      </c>
      <c r="B46" t="s">
        <v>1429</v>
      </c>
      <c r="C46" t="s">
        <v>1430</v>
      </c>
      <c r="D46" s="6" t="str">
        <f>IFERROR(VLOOKUP(A46,base_fiis_inv10!$A$1:$C$282,2,FALSE),"Não encontrado")</f>
        <v>Fundo de Tijolo</v>
      </c>
      <c r="E46" s="6" t="str">
        <f>IFERROR(VLOOKUP(A46,base_fiis_inv10!$A$1:$C$282,3,FALSE),"Não encontrado")</f>
        <v>Híbrido</v>
      </c>
    </row>
    <row r="47" spans="1:5" x14ac:dyDescent="0.3">
      <c r="A47" t="s">
        <v>1431</v>
      </c>
      <c r="B47" t="s">
        <v>1432</v>
      </c>
      <c r="C47" t="s">
        <v>1433</v>
      </c>
      <c r="D47" s="6" t="str">
        <f>IFERROR(VLOOKUP(A47,base_fiis_inv10!$A$1:$C$282,2,FALSE),"Não encontrado")</f>
        <v>Não encontrado</v>
      </c>
      <c r="E47" s="6" t="str">
        <f>IFERROR(VLOOKUP(A47,base_fiis_inv10!$A$1:$C$282,3,FALSE),"Não encontrado")</f>
        <v>Não encontrado</v>
      </c>
    </row>
    <row r="48" spans="1:5" x14ac:dyDescent="0.3">
      <c r="A48" t="s">
        <v>1434</v>
      </c>
      <c r="B48" t="s">
        <v>1435</v>
      </c>
      <c r="C48" t="s">
        <v>1436</v>
      </c>
      <c r="D48" s="6" t="str">
        <f>IFERROR(VLOOKUP(A48,base_fiis_inv10!$A$1:$C$282,2,FALSE),"Não encontrado")</f>
        <v>Não encontrado</v>
      </c>
      <c r="E48" s="6" t="str">
        <f>IFERROR(VLOOKUP(A48,base_fiis_inv10!$A$1:$C$282,3,FALSE),"Não encontrado")</f>
        <v>Não encontrado</v>
      </c>
    </row>
    <row r="49" spans="1:5" x14ac:dyDescent="0.3">
      <c r="A49" t="s">
        <v>1437</v>
      </c>
      <c r="B49" t="s">
        <v>1438</v>
      </c>
      <c r="C49" t="s">
        <v>1439</v>
      </c>
      <c r="D49" s="6" t="str">
        <f>IFERROR(VLOOKUP(A49,base_fiis_inv10!$A$1:$C$282,2,FALSE),"Não encontrado")</f>
        <v>Fundo misto</v>
      </c>
      <c r="E49" s="6" t="str">
        <f>IFERROR(VLOOKUP(A49,base_fiis_inv10!$A$1:$C$282,3,FALSE),"Não encontrado")</f>
        <v>Outros</v>
      </c>
    </row>
    <row r="50" spans="1:5" x14ac:dyDescent="0.3">
      <c r="A50" t="s">
        <v>1440</v>
      </c>
      <c r="B50" t="s">
        <v>1441</v>
      </c>
      <c r="C50" t="s">
        <v>1442</v>
      </c>
      <c r="D50" s="6" t="str">
        <f>IFERROR(VLOOKUP(A50,base_fiis_inv10!$A$1:$C$282,2,FALSE),"Não encontrado")</f>
        <v>Não encontrado</v>
      </c>
      <c r="E50" s="6" t="str">
        <f>IFERROR(VLOOKUP(A50,base_fiis_inv10!$A$1:$C$282,3,FALSE),"Não encontrado")</f>
        <v>Não encontrado</v>
      </c>
    </row>
    <row r="51" spans="1:5" x14ac:dyDescent="0.3">
      <c r="A51" t="s">
        <v>1443</v>
      </c>
      <c r="B51" t="s">
        <v>1444</v>
      </c>
      <c r="C51" t="s">
        <v>1445</v>
      </c>
      <c r="D51" s="6" t="str">
        <f>IFERROR(VLOOKUP(A51,base_fiis_inv10!$A$1:$C$282,2,FALSE),"Não encontrado")</f>
        <v>Fundo de Tijolo</v>
      </c>
      <c r="E51" s="6" t="str">
        <f>IFERROR(VLOOKUP(A51,base_fiis_inv10!$A$1:$C$282,3,FALSE),"Não encontrado")</f>
        <v>Híbrido</v>
      </c>
    </row>
    <row r="52" spans="1:5" x14ac:dyDescent="0.3">
      <c r="A52" t="s">
        <v>1446</v>
      </c>
      <c r="B52" t="s">
        <v>1447</v>
      </c>
      <c r="C52" t="s">
        <v>1448</v>
      </c>
      <c r="D52" s="6" t="str">
        <f>IFERROR(VLOOKUP(A52,base_fiis_inv10!$A$1:$C$282,2,FALSE),"Não encontrado")</f>
        <v>Fundo de Tijolo</v>
      </c>
      <c r="E52" s="6" t="str">
        <f>IFERROR(VLOOKUP(A52,base_fiis_inv10!$A$1:$C$282,3,FALSE),"Não encontrado")</f>
        <v>Outros</v>
      </c>
    </row>
    <row r="53" spans="1:5" x14ac:dyDescent="0.3">
      <c r="A53" t="s">
        <v>1449</v>
      </c>
      <c r="B53" t="s">
        <v>1450</v>
      </c>
      <c r="C53" t="s">
        <v>1451</v>
      </c>
      <c r="D53" s="6" t="str">
        <f>IFERROR(VLOOKUP(A53,base_fiis_inv10!$A$1:$C$282,2,FALSE),"Não encontrado")</f>
        <v>Fundo de papel</v>
      </c>
      <c r="E53" s="6" t="str">
        <f>IFERROR(VLOOKUP(A53,base_fiis_inv10!$A$1:$C$282,3,FALSE),"Não encontrado")</f>
        <v>Títulos e Valores Mobiliários</v>
      </c>
    </row>
    <row r="54" spans="1:5" x14ac:dyDescent="0.3">
      <c r="A54" t="s">
        <v>1452</v>
      </c>
      <c r="B54" t="s">
        <v>1453</v>
      </c>
      <c r="C54" t="s">
        <v>1454</v>
      </c>
      <c r="D54" s="6" t="str">
        <f>IFERROR(VLOOKUP(A54,base_fiis_inv10!$A$1:$C$282,2,FALSE),"Não encontrado")</f>
        <v>Não encontrado</v>
      </c>
      <c r="E54" s="6" t="str">
        <f>IFERROR(VLOOKUP(A54,base_fiis_inv10!$A$1:$C$282,3,FALSE),"Não encontrado")</f>
        <v>Não encontrado</v>
      </c>
    </row>
    <row r="55" spans="1:5" x14ac:dyDescent="0.3">
      <c r="A55" t="s">
        <v>1455</v>
      </c>
      <c r="B55" t="s">
        <v>1456</v>
      </c>
      <c r="C55" t="s">
        <v>1457</v>
      </c>
      <c r="D55" s="6" t="str">
        <f>IFERROR(VLOOKUP(A55,base_fiis_inv10!$A$1:$C$282,2,FALSE),"Não encontrado")</f>
        <v>Fundo de Tijolo</v>
      </c>
      <c r="E55" s="6" t="str">
        <f>IFERROR(VLOOKUP(A55,base_fiis_inv10!$A$1:$C$282,3,FALSE),"Não encontrado")</f>
        <v>Logístico / Indústria / Galpões</v>
      </c>
    </row>
    <row r="56" spans="1:5" x14ac:dyDescent="0.3">
      <c r="A56" t="s">
        <v>1458</v>
      </c>
      <c r="B56" t="s">
        <v>1459</v>
      </c>
      <c r="C56" t="s">
        <v>1460</v>
      </c>
      <c r="D56" s="6" t="str">
        <f>IFERROR(VLOOKUP(A56,base_fiis_inv10!$A$1:$C$282,2,FALSE),"Não encontrado")</f>
        <v>Fundo de Tijolo</v>
      </c>
      <c r="E56" s="6" t="str">
        <f>IFERROR(VLOOKUP(A56,base_fiis_inv10!$A$1:$C$282,3,FALSE),"Não encontrado")</f>
        <v>Híbrido</v>
      </c>
    </row>
    <row r="57" spans="1:5" x14ac:dyDescent="0.3">
      <c r="A57" t="s">
        <v>1461</v>
      </c>
      <c r="B57" t="s">
        <v>1462</v>
      </c>
      <c r="C57" t="s">
        <v>1463</v>
      </c>
      <c r="D57" s="6" t="str">
        <f>IFERROR(VLOOKUP(A57,base_fiis_inv10!$A$1:$C$282,2,FALSE),"Não encontrado")</f>
        <v>Outro</v>
      </c>
      <c r="E57" s="6" t="str">
        <f>IFERROR(VLOOKUP(A57,base_fiis_inv10!$A$1:$C$282,3,FALSE),"Não encontrado")</f>
        <v>Fiagros</v>
      </c>
    </row>
    <row r="58" spans="1:5" x14ac:dyDescent="0.3">
      <c r="A58" t="s">
        <v>1464</v>
      </c>
      <c r="B58" t="s">
        <v>1465</v>
      </c>
      <c r="C58" t="s">
        <v>1466</v>
      </c>
      <c r="D58" s="6" t="str">
        <f>IFERROR(VLOOKUP(A58,base_fiis_inv10!$A$1:$C$282,2,FALSE),"Não encontrado")</f>
        <v>Não encontrado</v>
      </c>
      <c r="E58" s="6" t="str">
        <f>IFERROR(VLOOKUP(A58,base_fiis_inv10!$A$1:$C$282,3,FALSE),"Não encontrado")</f>
        <v>Não encontrado</v>
      </c>
    </row>
    <row r="59" spans="1:5" x14ac:dyDescent="0.3">
      <c r="A59" t="s">
        <v>1467</v>
      </c>
      <c r="B59" t="s">
        <v>1468</v>
      </c>
      <c r="C59" t="s">
        <v>1469</v>
      </c>
      <c r="D59" s="6" t="str">
        <f>IFERROR(VLOOKUP(A59,base_fiis_inv10!$A$1:$C$282,2,FALSE),"Não encontrado")</f>
        <v>Não encontrado</v>
      </c>
      <c r="E59" s="6" t="str">
        <f>IFERROR(VLOOKUP(A59,base_fiis_inv10!$A$1:$C$282,3,FALSE),"Não encontrado")</f>
        <v>Não encontrado</v>
      </c>
    </row>
    <row r="60" spans="1:5" x14ac:dyDescent="0.3">
      <c r="A60" t="s">
        <v>1470</v>
      </c>
      <c r="B60" t="s">
        <v>1471</v>
      </c>
      <c r="C60" t="s">
        <v>1472</v>
      </c>
      <c r="D60" s="6" t="str">
        <f>IFERROR(VLOOKUP(A60,base_fiis_inv10!$A$1:$C$282,2,FALSE),"Não encontrado")</f>
        <v>Fundo de desenvolvimento</v>
      </c>
      <c r="E60" s="6" t="str">
        <f>IFERROR(VLOOKUP(A60,base_fiis_inv10!$A$1:$C$282,3,FALSE),"Não encontrado")</f>
        <v>Lajes Corporativas</v>
      </c>
    </row>
    <row r="61" spans="1:5" x14ac:dyDescent="0.3">
      <c r="A61" t="s">
        <v>1473</v>
      </c>
      <c r="B61" t="s">
        <v>1474</v>
      </c>
      <c r="C61" t="s">
        <v>1475</v>
      </c>
      <c r="D61" s="6" t="str">
        <f>IFERROR(VLOOKUP(A61,base_fiis_inv10!$A$1:$C$282,2,FALSE),"Não encontrado")</f>
        <v>Não encontrado</v>
      </c>
      <c r="E61" s="6" t="str">
        <f>IFERROR(VLOOKUP(A61,base_fiis_inv10!$A$1:$C$282,3,FALSE),"Não encontrado")</f>
        <v>Não encontrado</v>
      </c>
    </row>
    <row r="62" spans="1:5" x14ac:dyDescent="0.3">
      <c r="A62" t="s">
        <v>1476</v>
      </c>
      <c r="B62" t="s">
        <v>1477</v>
      </c>
      <c r="C62" t="s">
        <v>1478</v>
      </c>
      <c r="D62" s="6" t="str">
        <f>IFERROR(VLOOKUP(A62,base_fiis_inv10!$A$1:$C$282,2,FALSE),"Não encontrado")</f>
        <v>Não encontrado</v>
      </c>
      <c r="E62" s="6" t="str">
        <f>IFERROR(VLOOKUP(A62,base_fiis_inv10!$A$1:$C$282,3,FALSE),"Não encontrado")</f>
        <v>Não encontrado</v>
      </c>
    </row>
    <row r="63" spans="1:5" x14ac:dyDescent="0.3">
      <c r="A63" t="s">
        <v>1479</v>
      </c>
      <c r="B63" t="s">
        <v>1480</v>
      </c>
      <c r="C63" t="s">
        <v>1481</v>
      </c>
      <c r="D63" s="6" t="str">
        <f>IFERROR(VLOOKUP(A63,base_fiis_inv10!$A$1:$C$282,2,FALSE),"Não encontrado")</f>
        <v>Não encontrado</v>
      </c>
      <c r="E63" s="6" t="str">
        <f>IFERROR(VLOOKUP(A63,base_fiis_inv10!$A$1:$C$282,3,FALSE),"Não encontrado")</f>
        <v>Não encontrado</v>
      </c>
    </row>
    <row r="64" spans="1:5" x14ac:dyDescent="0.3">
      <c r="A64" t="s">
        <v>1482</v>
      </c>
      <c r="B64" t="s">
        <v>1483</v>
      </c>
      <c r="C64" t="s">
        <v>1484</v>
      </c>
      <c r="D64" s="6" t="str">
        <f>IFERROR(VLOOKUP(A64,base_fiis_inv10!$A$1:$C$282,2,FALSE),"Não encontrado")</f>
        <v>Fundo de papel</v>
      </c>
      <c r="E64" s="6" t="str">
        <f>IFERROR(VLOOKUP(A64,base_fiis_inv10!$A$1:$C$282,3,FALSE),"Não encontrado")</f>
        <v>Híbrido</v>
      </c>
    </row>
    <row r="65" spans="1:5" x14ac:dyDescent="0.3">
      <c r="A65" t="s">
        <v>1485</v>
      </c>
      <c r="B65" t="s">
        <v>1486</v>
      </c>
      <c r="C65" t="s">
        <v>1487</v>
      </c>
      <c r="D65" s="6" t="str">
        <f>IFERROR(VLOOKUP(A65,base_fiis_inv10!$A$1:$C$282,2,FALSE),"Não encontrado")</f>
        <v>Não encontrado</v>
      </c>
      <c r="E65" s="6" t="str">
        <f>IFERROR(VLOOKUP(A65,base_fiis_inv10!$A$1:$C$282,3,FALSE),"Não encontrado")</f>
        <v>Não encontrado</v>
      </c>
    </row>
    <row r="66" spans="1:5" x14ac:dyDescent="0.3">
      <c r="A66" t="s">
        <v>1488</v>
      </c>
      <c r="B66" t="s">
        <v>1489</v>
      </c>
      <c r="C66" t="s">
        <v>1490</v>
      </c>
      <c r="D66" s="6" t="str">
        <f>IFERROR(VLOOKUP(A66,base_fiis_inv10!$A$1:$C$282,2,FALSE),"Não encontrado")</f>
        <v>Fundo de Tijolo</v>
      </c>
      <c r="E66" s="6" t="str">
        <f>IFERROR(VLOOKUP(A66,base_fiis_inv10!$A$1:$C$282,3,FALSE),"Não encontrado")</f>
        <v>Lajes Corporativas</v>
      </c>
    </row>
    <row r="67" spans="1:5" x14ac:dyDescent="0.3">
      <c r="A67" t="s">
        <v>1491</v>
      </c>
      <c r="B67" t="s">
        <v>1492</v>
      </c>
      <c r="C67" t="s">
        <v>1493</v>
      </c>
      <c r="D67" s="6" t="str">
        <f>IFERROR(VLOOKUP(A67,base_fiis_inv10!$A$1:$C$282,2,FALSE),"Não encontrado")</f>
        <v>Fundo misto</v>
      </c>
      <c r="E67" s="6" t="str">
        <f>IFERROR(VLOOKUP(A67,base_fiis_inv10!$A$1:$C$282,3,FALSE),"Não encontrado")</f>
        <v>Outros</v>
      </c>
    </row>
    <row r="68" spans="1:5" x14ac:dyDescent="0.3">
      <c r="A68" t="s">
        <v>1494</v>
      </c>
      <c r="B68" t="s">
        <v>1495</v>
      </c>
      <c r="C68" t="s">
        <v>1496</v>
      </c>
      <c r="D68" s="6" t="str">
        <f>IFERROR(VLOOKUP(A68,base_fiis_inv10!$A$1:$C$282,2,FALSE),"Não encontrado")</f>
        <v>Não encontrado</v>
      </c>
      <c r="E68" s="6" t="str">
        <f>IFERROR(VLOOKUP(A68,base_fiis_inv10!$A$1:$C$282,3,FALSE),"Não encontrado")</f>
        <v>Não encontrado</v>
      </c>
    </row>
    <row r="69" spans="1:5" x14ac:dyDescent="0.3">
      <c r="A69" t="s">
        <v>1497</v>
      </c>
      <c r="B69" t="s">
        <v>1498</v>
      </c>
      <c r="C69" t="s">
        <v>1499</v>
      </c>
      <c r="D69" s="6" t="str">
        <f>IFERROR(VLOOKUP(A69,base_fiis_inv10!$A$1:$C$282,2,FALSE),"Não encontrado")</f>
        <v>Não encontrado</v>
      </c>
      <c r="E69" s="6" t="str">
        <f>IFERROR(VLOOKUP(A69,base_fiis_inv10!$A$1:$C$282,3,FALSE),"Não encontrado")</f>
        <v>Não encontrado</v>
      </c>
    </row>
    <row r="70" spans="1:5" x14ac:dyDescent="0.3">
      <c r="A70" t="s">
        <v>1500</v>
      </c>
      <c r="B70" t="s">
        <v>1501</v>
      </c>
      <c r="C70" t="s">
        <v>1502</v>
      </c>
      <c r="D70" s="6" t="str">
        <f>IFERROR(VLOOKUP(A70,base_fiis_inv10!$A$1:$C$282,2,FALSE),"Não encontrado")</f>
        <v>Não encontrado</v>
      </c>
      <c r="E70" s="6" t="str">
        <f>IFERROR(VLOOKUP(A70,base_fiis_inv10!$A$1:$C$282,3,FALSE),"Não encontrado")</f>
        <v>Não encontrado</v>
      </c>
    </row>
    <row r="71" spans="1:5" x14ac:dyDescent="0.3">
      <c r="A71" t="s">
        <v>1503</v>
      </c>
      <c r="B71" t="s">
        <v>1504</v>
      </c>
      <c r="C71" t="s">
        <v>1505</v>
      </c>
      <c r="D71" s="6" t="str">
        <f>IFERROR(VLOOKUP(A71,base_fiis_inv10!$A$1:$C$282,2,FALSE),"Não encontrado")</f>
        <v>Fundo de desenvolvimento</v>
      </c>
      <c r="E71" s="6" t="str">
        <f>IFERROR(VLOOKUP(A71,base_fiis_inv10!$A$1:$C$282,3,FALSE),"Não encontrado")</f>
        <v>Híbrido</v>
      </c>
    </row>
    <row r="72" spans="1:5" x14ac:dyDescent="0.3">
      <c r="A72" t="s">
        <v>1506</v>
      </c>
      <c r="B72" t="s">
        <v>1507</v>
      </c>
      <c r="C72" t="s">
        <v>1508</v>
      </c>
      <c r="D72" s="6" t="str">
        <f>IFERROR(VLOOKUP(A72,base_fiis_inv10!$A$1:$C$282,2,FALSE),"Não encontrado")</f>
        <v>Não encontrado</v>
      </c>
      <c r="E72" s="6" t="str">
        <f>IFERROR(VLOOKUP(A72,base_fiis_inv10!$A$1:$C$282,3,FALSE),"Não encontrado")</f>
        <v>Não encontrado</v>
      </c>
    </row>
    <row r="73" spans="1:5" x14ac:dyDescent="0.3">
      <c r="A73" t="s">
        <v>1509</v>
      </c>
      <c r="B73" t="s">
        <v>1510</v>
      </c>
      <c r="C73" t="s">
        <v>1511</v>
      </c>
      <c r="D73" s="6" t="str">
        <f>IFERROR(VLOOKUP(A73,base_fiis_inv10!$A$1:$C$282,2,FALSE),"Não encontrado")</f>
        <v>Fundo de papel</v>
      </c>
      <c r="E73" s="6" t="str">
        <f>IFERROR(VLOOKUP(A73,base_fiis_inv10!$A$1:$C$282,3,FALSE),"Não encontrado")</f>
        <v>Títulos e Valores Mobiliários</v>
      </c>
    </row>
    <row r="74" spans="1:5" x14ac:dyDescent="0.3">
      <c r="A74" t="s">
        <v>1512</v>
      </c>
      <c r="B74" t="s">
        <v>1513</v>
      </c>
      <c r="C74" t="s">
        <v>1514</v>
      </c>
      <c r="D74" s="6" t="str">
        <f>IFERROR(VLOOKUP(A74,base_fiis_inv10!$A$1:$C$282,2,FALSE),"Não encontrado")</f>
        <v>Fundo de Tijolo</v>
      </c>
      <c r="E74" s="6" t="str">
        <f>IFERROR(VLOOKUP(A74,base_fiis_inv10!$A$1:$C$282,3,FALSE),"Não encontrado")</f>
        <v>Lajes Corporativas</v>
      </c>
    </row>
    <row r="75" spans="1:5" x14ac:dyDescent="0.3">
      <c r="A75" t="s">
        <v>1515</v>
      </c>
      <c r="B75" t="s">
        <v>1516</v>
      </c>
      <c r="C75" t="s">
        <v>1517</v>
      </c>
      <c r="D75" s="6" t="str">
        <f>IFERROR(VLOOKUP(A75,base_fiis_inv10!$A$1:$C$282,2,FALSE),"Não encontrado")</f>
        <v>Fundo de fundos</v>
      </c>
      <c r="E75" s="6" t="str">
        <f>IFERROR(VLOOKUP(A75,base_fiis_inv10!$A$1:$C$282,3,FALSE),"Não encontrado")</f>
        <v>Híbrido</v>
      </c>
    </row>
    <row r="76" spans="1:5" x14ac:dyDescent="0.3">
      <c r="A76" t="s">
        <v>1518</v>
      </c>
      <c r="B76" t="s">
        <v>1519</v>
      </c>
      <c r="C76" t="s">
        <v>1520</v>
      </c>
      <c r="D76" s="6" t="str">
        <f>IFERROR(VLOOKUP(A76,base_fiis_inv10!$A$1:$C$282,2,FALSE),"Não encontrado")</f>
        <v>Fundo misto</v>
      </c>
      <c r="E76" s="6" t="str">
        <f>IFERROR(VLOOKUP(A76,base_fiis_inv10!$A$1:$C$282,3,FALSE),"Não encontrado")</f>
        <v>Logístico / Indústria / Galpões</v>
      </c>
    </row>
    <row r="77" spans="1:5" x14ac:dyDescent="0.3">
      <c r="A77" t="s">
        <v>1521</v>
      </c>
      <c r="B77" t="s">
        <v>1522</v>
      </c>
      <c r="C77" t="s">
        <v>1523</v>
      </c>
      <c r="D77" s="6" t="str">
        <f>IFERROR(VLOOKUP(A77,base_fiis_inv10!$A$1:$C$282,2,FALSE),"Não encontrado")</f>
        <v>Fundo misto</v>
      </c>
      <c r="E77" s="6" t="str">
        <f>IFERROR(VLOOKUP(A77,base_fiis_inv10!$A$1:$C$282,3,FALSE),"Não encontrado")</f>
        <v>Híbrido</v>
      </c>
    </row>
    <row r="78" spans="1:5" x14ac:dyDescent="0.3">
      <c r="A78" t="s">
        <v>1524</v>
      </c>
      <c r="B78" t="s">
        <v>1525</v>
      </c>
      <c r="C78" t="s">
        <v>1526</v>
      </c>
      <c r="D78" s="6" t="str">
        <f>IFERROR(VLOOKUP(A78,base_fiis_inv10!$A$1:$C$282,2,FALSE),"Não encontrado")</f>
        <v>Fundo de Tijolo</v>
      </c>
      <c r="E78" s="6" t="str">
        <f>IFERROR(VLOOKUP(A78,base_fiis_inv10!$A$1:$C$282,3,FALSE),"Não encontrado")</f>
        <v>Shoppings / Varejo</v>
      </c>
    </row>
    <row r="79" spans="1:5" x14ac:dyDescent="0.3">
      <c r="A79" t="s">
        <v>1527</v>
      </c>
      <c r="B79" t="s">
        <v>1528</v>
      </c>
      <c r="C79" t="s">
        <v>1529</v>
      </c>
      <c r="D79" s="6" t="str">
        <f>IFERROR(VLOOKUP(A79,base_fiis_inv10!$A$1:$C$282,2,FALSE),"Não encontrado")</f>
        <v>Fundo de papel</v>
      </c>
      <c r="E79" s="6" t="str">
        <f>IFERROR(VLOOKUP(A79,base_fiis_inv10!$A$1:$C$282,3,FALSE),"Não encontrado")</f>
        <v>Títulos e Valores Mobiliários</v>
      </c>
    </row>
    <row r="80" spans="1:5" x14ac:dyDescent="0.3">
      <c r="A80" t="s">
        <v>1530</v>
      </c>
      <c r="B80" t="s">
        <v>1531</v>
      </c>
      <c r="C80" t="s">
        <v>1532</v>
      </c>
      <c r="D80" s="6" t="str">
        <f>IFERROR(VLOOKUP(A80,base_fiis_inv10!$A$1:$C$282,2,FALSE),"Não encontrado")</f>
        <v>Não encontrado</v>
      </c>
      <c r="E80" s="6" t="str">
        <f>IFERROR(VLOOKUP(A80,base_fiis_inv10!$A$1:$C$282,3,FALSE),"Não encontrado")</f>
        <v>Não encontrado</v>
      </c>
    </row>
    <row r="81" spans="1:5" x14ac:dyDescent="0.3">
      <c r="A81" t="s">
        <v>1533</v>
      </c>
      <c r="B81" t="s">
        <v>1534</v>
      </c>
      <c r="C81" t="s">
        <v>1535</v>
      </c>
      <c r="D81" s="6" t="str">
        <f>IFERROR(VLOOKUP(A81,base_fiis_inv10!$A$1:$C$282,2,FALSE),"Não encontrado")</f>
        <v>Não encontrado</v>
      </c>
      <c r="E81" s="6" t="str">
        <f>IFERROR(VLOOKUP(A81,base_fiis_inv10!$A$1:$C$282,3,FALSE),"Não encontrado")</f>
        <v>Não encontrado</v>
      </c>
    </row>
    <row r="82" spans="1:5" x14ac:dyDescent="0.3">
      <c r="A82" t="s">
        <v>1536</v>
      </c>
      <c r="B82" t="s">
        <v>1537</v>
      </c>
      <c r="C82" t="s">
        <v>1538</v>
      </c>
      <c r="D82" s="6" t="str">
        <f>IFERROR(VLOOKUP(A82,base_fiis_inv10!$A$1:$C$282,2,FALSE),"Não encontrado")</f>
        <v>Fundo de papel</v>
      </c>
      <c r="E82" s="6" t="str">
        <f>IFERROR(VLOOKUP(A82,base_fiis_inv10!$A$1:$C$282,3,FALSE),"Não encontrado")</f>
        <v>Títulos e Valores Mobiliários</v>
      </c>
    </row>
    <row r="83" spans="1:5" x14ac:dyDescent="0.3">
      <c r="A83" t="s">
        <v>1539</v>
      </c>
      <c r="B83" t="s">
        <v>1540</v>
      </c>
      <c r="C83" t="s">
        <v>1541</v>
      </c>
      <c r="D83" s="6" t="str">
        <f>IFERROR(VLOOKUP(A83,base_fiis_inv10!$A$1:$C$282,2,FALSE),"Não encontrado")</f>
        <v>Fundo de Tijolo</v>
      </c>
      <c r="E83" s="6" t="str">
        <f>IFERROR(VLOOKUP(A83,base_fiis_inv10!$A$1:$C$282,3,FALSE),"Não encontrado")</f>
        <v>Agências bancárias</v>
      </c>
    </row>
    <row r="84" spans="1:5" x14ac:dyDescent="0.3">
      <c r="A84" t="s">
        <v>1542</v>
      </c>
      <c r="B84" t="s">
        <v>1543</v>
      </c>
      <c r="C84" t="s">
        <v>1544</v>
      </c>
      <c r="D84" s="6" t="str">
        <f>IFERROR(VLOOKUP(A84,base_fiis_inv10!$A$1:$C$282,2,FALSE),"Não encontrado")</f>
        <v>Não encontrado</v>
      </c>
      <c r="E84" s="6" t="str">
        <f>IFERROR(VLOOKUP(A84,base_fiis_inv10!$A$1:$C$282,3,FALSE),"Não encontrado")</f>
        <v>Não encontrado</v>
      </c>
    </row>
    <row r="85" spans="1:5" x14ac:dyDescent="0.3">
      <c r="A85" t="s">
        <v>1545</v>
      </c>
      <c r="B85" t="s">
        <v>1543</v>
      </c>
      <c r="C85" t="s">
        <v>1544</v>
      </c>
      <c r="D85" s="6" t="str">
        <f>IFERROR(VLOOKUP(A85,base_fiis_inv10!$A$1:$C$282,2,FALSE),"Não encontrado")</f>
        <v>Não encontrado</v>
      </c>
      <c r="E85" s="6" t="str">
        <f>IFERROR(VLOOKUP(A85,base_fiis_inv10!$A$1:$C$282,3,FALSE),"Não encontrado")</f>
        <v>Não encontrado</v>
      </c>
    </row>
    <row r="86" spans="1:5" x14ac:dyDescent="0.3">
      <c r="A86" t="s">
        <v>1546</v>
      </c>
      <c r="B86" t="s">
        <v>1547</v>
      </c>
      <c r="C86" t="s">
        <v>1548</v>
      </c>
      <c r="D86" s="6" t="str">
        <f>IFERROR(VLOOKUP(A86,base_fiis_inv10!$A$1:$C$282,2,FALSE),"Não encontrado")</f>
        <v>Fundo de fundos</v>
      </c>
      <c r="E86" s="6" t="str">
        <f>IFERROR(VLOOKUP(A86,base_fiis_inv10!$A$1:$C$282,3,FALSE),"Não encontrado")</f>
        <v>Fundo de Fundos</v>
      </c>
    </row>
    <row r="87" spans="1:5" x14ac:dyDescent="0.3">
      <c r="A87" t="s">
        <v>1549</v>
      </c>
      <c r="B87" t="s">
        <v>1550</v>
      </c>
      <c r="C87" t="s">
        <v>1551</v>
      </c>
      <c r="D87" s="6" t="str">
        <f>IFERROR(VLOOKUP(A87,base_fiis_inv10!$A$1:$C$282,2,FALSE),"Não encontrado")</f>
        <v>Fundo de Tijolo</v>
      </c>
      <c r="E87" s="6" t="str">
        <f>IFERROR(VLOOKUP(A87,base_fiis_inv10!$A$1:$C$282,3,FALSE),"Não encontrado")</f>
        <v>Lajes Corporativas</v>
      </c>
    </row>
    <row r="88" spans="1:5" x14ac:dyDescent="0.3">
      <c r="A88" t="s">
        <v>1552</v>
      </c>
      <c r="B88" t="s">
        <v>1553</v>
      </c>
      <c r="C88" t="s">
        <v>1554</v>
      </c>
      <c r="D88" s="6" t="str">
        <f>IFERROR(VLOOKUP(A88,base_fiis_inv10!$A$1:$C$282,2,FALSE),"Não encontrado")</f>
        <v>Fundo de fundos</v>
      </c>
      <c r="E88" s="6" t="str">
        <f>IFERROR(VLOOKUP(A88,base_fiis_inv10!$A$1:$C$282,3,FALSE),"Não encontrado")</f>
        <v>Híbrido</v>
      </c>
    </row>
    <row r="89" spans="1:5" x14ac:dyDescent="0.3">
      <c r="A89" t="s">
        <v>1555</v>
      </c>
      <c r="B89" t="s">
        <v>1556</v>
      </c>
      <c r="C89" t="s">
        <v>1557</v>
      </c>
      <c r="D89" s="6" t="str">
        <f>IFERROR(VLOOKUP(A89,base_fiis_inv10!$A$1:$C$282,2,FALSE),"Não encontrado")</f>
        <v>Não encontrado</v>
      </c>
      <c r="E89" s="6" t="str">
        <f>IFERROR(VLOOKUP(A89,base_fiis_inv10!$A$1:$C$282,3,FALSE),"Não encontrado")</f>
        <v>Não encontrado</v>
      </c>
    </row>
    <row r="90" spans="1:5" x14ac:dyDescent="0.3">
      <c r="A90" t="s">
        <v>1558</v>
      </c>
      <c r="B90" t="s">
        <v>1559</v>
      </c>
      <c r="C90" t="s">
        <v>1560</v>
      </c>
      <c r="D90" s="6" t="str">
        <f>IFERROR(VLOOKUP(A90,base_fiis_inv10!$A$1:$C$282,2,FALSE),"Não encontrado")</f>
        <v>Fundo de papel</v>
      </c>
      <c r="E90" s="6" t="str">
        <f>IFERROR(VLOOKUP(A90,base_fiis_inv10!$A$1:$C$282,3,FALSE),"Não encontrado")</f>
        <v>Outros</v>
      </c>
    </row>
    <row r="91" spans="1:5" x14ac:dyDescent="0.3">
      <c r="A91" t="s">
        <v>1561</v>
      </c>
      <c r="B91" t="s">
        <v>1562</v>
      </c>
      <c r="C91" t="s">
        <v>1563</v>
      </c>
      <c r="D91" s="6" t="str">
        <f>IFERROR(VLOOKUP(A91,base_fiis_inv10!$A$1:$C$282,2,FALSE),"Não encontrado")</f>
        <v>Fundo de Tijolo</v>
      </c>
      <c r="E91" s="6" t="str">
        <f>IFERROR(VLOOKUP(A91,base_fiis_inv10!$A$1:$C$282,3,FALSE),"Não encontrado")</f>
        <v>Logístico / Indústria / Galpões</v>
      </c>
    </row>
    <row r="92" spans="1:5" x14ac:dyDescent="0.3">
      <c r="A92" t="s">
        <v>1564</v>
      </c>
      <c r="B92" t="s">
        <v>1565</v>
      </c>
      <c r="C92" t="s">
        <v>1566</v>
      </c>
      <c r="D92" s="6" t="str">
        <f>IFERROR(VLOOKUP(A92,base_fiis_inv10!$A$1:$C$282,2,FALSE),"Não encontrado")</f>
        <v>Não encontrado</v>
      </c>
      <c r="E92" s="6" t="str">
        <f>IFERROR(VLOOKUP(A92,base_fiis_inv10!$A$1:$C$282,3,FALSE),"Não encontrado")</f>
        <v>Não encontrado</v>
      </c>
    </row>
    <row r="93" spans="1:5" x14ac:dyDescent="0.3">
      <c r="A93" t="s">
        <v>1567</v>
      </c>
      <c r="B93" t="s">
        <v>1568</v>
      </c>
      <c r="C93" t="s">
        <v>1569</v>
      </c>
      <c r="D93" s="6" t="str">
        <f>IFERROR(VLOOKUP(A93,base_fiis_inv10!$A$1:$C$282,2,FALSE),"Não encontrado")</f>
        <v>Não encontrado</v>
      </c>
      <c r="E93" s="6" t="str">
        <f>IFERROR(VLOOKUP(A93,base_fiis_inv10!$A$1:$C$282,3,FALSE),"Não encontrado")</f>
        <v>Não encontrado</v>
      </c>
    </row>
    <row r="94" spans="1:5" x14ac:dyDescent="0.3">
      <c r="A94" t="s">
        <v>1570</v>
      </c>
      <c r="B94" t="s">
        <v>1568</v>
      </c>
      <c r="C94" t="s">
        <v>1569</v>
      </c>
      <c r="D94" s="6" t="str">
        <f>IFERROR(VLOOKUP(A94,base_fiis_inv10!$A$1:$C$282,2,FALSE),"Não encontrado")</f>
        <v>Não encontrado</v>
      </c>
      <c r="E94" s="6" t="str">
        <f>IFERROR(VLOOKUP(A94,base_fiis_inv10!$A$1:$C$282,3,FALSE),"Não encontrado")</f>
        <v>Não encontrado</v>
      </c>
    </row>
    <row r="95" spans="1:5" x14ac:dyDescent="0.3">
      <c r="A95" t="s">
        <v>1571</v>
      </c>
      <c r="B95" t="s">
        <v>1572</v>
      </c>
      <c r="C95" t="s">
        <v>1573</v>
      </c>
      <c r="D95" s="6" t="str">
        <f>IFERROR(VLOOKUP(A95,base_fiis_inv10!$A$1:$C$282,2,FALSE),"Não encontrado")</f>
        <v>Fundo de papel</v>
      </c>
      <c r="E95" s="6" t="str">
        <f>IFERROR(VLOOKUP(A95,base_fiis_inv10!$A$1:$C$282,3,FALSE),"Não encontrado")</f>
        <v>Títulos e Valores Mobiliários</v>
      </c>
    </row>
    <row r="96" spans="1:5" x14ac:dyDescent="0.3">
      <c r="A96" t="s">
        <v>1574</v>
      </c>
      <c r="B96" t="s">
        <v>1575</v>
      </c>
      <c r="C96" t="s">
        <v>1576</v>
      </c>
      <c r="D96" s="6" t="str">
        <f>IFERROR(VLOOKUP(A96,base_fiis_inv10!$A$1:$C$282,2,FALSE),"Não encontrado")</f>
        <v>Não encontrado</v>
      </c>
      <c r="E96" s="6" t="str">
        <f>IFERROR(VLOOKUP(A96,base_fiis_inv10!$A$1:$C$282,3,FALSE),"Não encontrado")</f>
        <v>Não encontrado</v>
      </c>
    </row>
    <row r="97" spans="1:5" x14ac:dyDescent="0.3">
      <c r="A97" t="s">
        <v>1577</v>
      </c>
      <c r="B97" t="s">
        <v>1578</v>
      </c>
      <c r="C97" t="s">
        <v>1579</v>
      </c>
      <c r="D97" s="6" t="str">
        <f>IFERROR(VLOOKUP(A97,base_fiis_inv10!$A$1:$C$282,2,FALSE),"Não encontrado")</f>
        <v>Não encontrado</v>
      </c>
      <c r="E97" s="6" t="str">
        <f>IFERROR(VLOOKUP(A97,base_fiis_inv10!$A$1:$C$282,3,FALSE),"Não encontrado")</f>
        <v>Não encontrado</v>
      </c>
    </row>
    <row r="98" spans="1:5" x14ac:dyDescent="0.3">
      <c r="A98" t="s">
        <v>1580</v>
      </c>
      <c r="B98" t="s">
        <v>1581</v>
      </c>
      <c r="C98" t="s">
        <v>1582</v>
      </c>
      <c r="D98" s="6" t="str">
        <f>IFERROR(VLOOKUP(A98,base_fiis_inv10!$A$1:$C$282,2,FALSE),"Não encontrado")</f>
        <v>Não encontrado</v>
      </c>
      <c r="E98" s="6" t="str">
        <f>IFERROR(VLOOKUP(A98,base_fiis_inv10!$A$1:$C$282,3,FALSE),"Não encontrado")</f>
        <v>Não encontrado</v>
      </c>
    </row>
    <row r="99" spans="1:5" x14ac:dyDescent="0.3">
      <c r="A99" t="s">
        <v>1583</v>
      </c>
      <c r="B99" t="s">
        <v>1584</v>
      </c>
      <c r="C99" t="s">
        <v>1585</v>
      </c>
      <c r="D99" s="6" t="str">
        <f>IFERROR(VLOOKUP(A99,base_fiis_inv10!$A$1:$C$282,2,FALSE),"Não encontrado")</f>
        <v>Não encontrado</v>
      </c>
      <c r="E99" s="6" t="str">
        <f>IFERROR(VLOOKUP(A99,base_fiis_inv10!$A$1:$C$282,3,FALSE),"Não encontrado")</f>
        <v>Não encontrado</v>
      </c>
    </row>
    <row r="100" spans="1:5" x14ac:dyDescent="0.3">
      <c r="A100" t="s">
        <v>1586</v>
      </c>
      <c r="B100" t="s">
        <v>1587</v>
      </c>
      <c r="C100" t="s">
        <v>1588</v>
      </c>
      <c r="D100" s="6" t="str">
        <f>IFERROR(VLOOKUP(A100,base_fiis_inv10!$A$1:$C$282,2,FALSE),"Não encontrado")</f>
        <v>Não encontrado</v>
      </c>
      <c r="E100" s="6" t="str">
        <f>IFERROR(VLOOKUP(A100,base_fiis_inv10!$A$1:$C$282,3,FALSE),"Não encontrado")</f>
        <v>Não encontrado</v>
      </c>
    </row>
    <row r="101" spans="1:5" x14ac:dyDescent="0.3">
      <c r="A101" t="s">
        <v>1589</v>
      </c>
      <c r="B101" t="s">
        <v>1590</v>
      </c>
      <c r="C101" t="s">
        <v>1591</v>
      </c>
      <c r="D101" s="6" t="str">
        <f>IFERROR(VLOOKUP(A101,base_fiis_inv10!$A$1:$C$282,2,FALSE),"Não encontrado")</f>
        <v>Não encontrado</v>
      </c>
      <c r="E101" s="6" t="str">
        <f>IFERROR(VLOOKUP(A101,base_fiis_inv10!$A$1:$C$282,3,FALSE),"Não encontrado")</f>
        <v>Não encontrado</v>
      </c>
    </row>
    <row r="102" spans="1:5" x14ac:dyDescent="0.3">
      <c r="A102" t="s">
        <v>1592</v>
      </c>
      <c r="B102" t="s">
        <v>1593</v>
      </c>
      <c r="C102" t="s">
        <v>1594</v>
      </c>
      <c r="D102" s="6" t="str">
        <f>IFERROR(VLOOKUP(A102,base_fiis_inv10!$A$1:$C$282,2,FALSE),"Não encontrado")</f>
        <v>Não encontrado</v>
      </c>
      <c r="E102" s="6" t="str">
        <f>IFERROR(VLOOKUP(A102,base_fiis_inv10!$A$1:$C$282,3,FALSE),"Não encontrado")</f>
        <v>Não encontrado</v>
      </c>
    </row>
    <row r="103" spans="1:5" x14ac:dyDescent="0.3">
      <c r="A103" t="s">
        <v>1595</v>
      </c>
      <c r="B103" t="s">
        <v>1596</v>
      </c>
      <c r="C103" t="s">
        <v>1597</v>
      </c>
      <c r="D103" s="6" t="str">
        <f>IFERROR(VLOOKUP(A103,base_fiis_inv10!$A$1:$C$282,2,FALSE),"Não encontrado")</f>
        <v>Não encontrado</v>
      </c>
      <c r="E103" s="6" t="str">
        <f>IFERROR(VLOOKUP(A103,base_fiis_inv10!$A$1:$C$282,3,FALSE),"Não encontrado")</f>
        <v>Não encontrado</v>
      </c>
    </row>
    <row r="104" spans="1:5" x14ac:dyDescent="0.3">
      <c r="A104" t="s">
        <v>1598</v>
      </c>
      <c r="B104" t="s">
        <v>1599</v>
      </c>
      <c r="C104" t="s">
        <v>1600</v>
      </c>
      <c r="D104" s="6" t="str">
        <f>IFERROR(VLOOKUP(A104,base_fiis_inv10!$A$1:$C$282,2,FALSE),"Não encontrado")</f>
        <v>Não encontrado</v>
      </c>
      <c r="E104" s="6" t="str">
        <f>IFERROR(VLOOKUP(A104,base_fiis_inv10!$A$1:$C$282,3,FALSE),"Não encontrado")</f>
        <v>Não encontrado</v>
      </c>
    </row>
    <row r="105" spans="1:5" x14ac:dyDescent="0.3">
      <c r="A105" t="s">
        <v>1601</v>
      </c>
      <c r="B105" t="s">
        <v>1602</v>
      </c>
      <c r="C105" t="s">
        <v>1603</v>
      </c>
      <c r="D105" s="6" t="str">
        <f>IFERROR(VLOOKUP(A105,base_fiis_inv10!$A$1:$C$282,2,FALSE),"Não encontrado")</f>
        <v>Outro</v>
      </c>
      <c r="E105" s="6" t="str">
        <f>IFERROR(VLOOKUP(A105,base_fiis_inv10!$A$1:$C$282,3,FALSE),"Não encontrado")</f>
        <v>Títulos e Valores Mobiliários</v>
      </c>
    </row>
    <row r="106" spans="1:5" x14ac:dyDescent="0.3">
      <c r="A106" t="s">
        <v>1604</v>
      </c>
      <c r="B106" t="s">
        <v>1605</v>
      </c>
      <c r="C106" t="s">
        <v>1606</v>
      </c>
      <c r="D106" s="6" t="str">
        <f>IFERROR(VLOOKUP(A106,base_fiis_inv10!$A$1:$C$282,2,FALSE),"Não encontrado")</f>
        <v>Fundo de Tijolo</v>
      </c>
      <c r="E106" s="6" t="str">
        <f>IFERROR(VLOOKUP(A106,base_fiis_inv10!$A$1:$C$282,3,FALSE),"Não encontrado")</f>
        <v>Híbrido</v>
      </c>
    </row>
    <row r="107" spans="1:5" x14ac:dyDescent="0.3">
      <c r="A107" t="s">
        <v>1607</v>
      </c>
      <c r="B107" t="s">
        <v>1605</v>
      </c>
      <c r="C107" t="s">
        <v>1606</v>
      </c>
      <c r="D107" s="6" t="str">
        <f>IFERROR(VLOOKUP(A107,base_fiis_inv10!$A$1:$C$282,2,FALSE),"Não encontrado")</f>
        <v>Não encontrado</v>
      </c>
      <c r="E107" s="6" t="str">
        <f>IFERROR(VLOOKUP(A107,base_fiis_inv10!$A$1:$C$282,3,FALSE),"Não encontrado")</f>
        <v>Não encontrado</v>
      </c>
    </row>
    <row r="108" spans="1:5" x14ac:dyDescent="0.3">
      <c r="A108" t="s">
        <v>1608</v>
      </c>
      <c r="B108" t="s">
        <v>1609</v>
      </c>
      <c r="C108" t="s">
        <v>1610</v>
      </c>
      <c r="D108" s="6" t="str">
        <f>IFERROR(VLOOKUP(A108,base_fiis_inv10!$A$1:$C$282,2,FALSE),"Não encontrado")</f>
        <v>Fundo de Tijolo</v>
      </c>
      <c r="E108" s="6" t="str">
        <f>IFERROR(VLOOKUP(A108,base_fiis_inv10!$A$1:$C$282,3,FALSE),"Não encontrado")</f>
        <v>Lajes Corporativas</v>
      </c>
    </row>
    <row r="109" spans="1:5" x14ac:dyDescent="0.3">
      <c r="A109" t="s">
        <v>1611</v>
      </c>
      <c r="B109" t="s">
        <v>1612</v>
      </c>
      <c r="C109" t="s">
        <v>1613</v>
      </c>
      <c r="D109" s="6" t="str">
        <f>IFERROR(VLOOKUP(A109,base_fiis_inv10!$A$1:$C$282,2,FALSE),"Não encontrado")</f>
        <v>Não encontrado</v>
      </c>
      <c r="E109" s="6" t="str">
        <f>IFERROR(VLOOKUP(A109,base_fiis_inv10!$A$1:$C$282,3,FALSE),"Não encontrado")</f>
        <v>Não encontrado</v>
      </c>
    </row>
    <row r="110" spans="1:5" x14ac:dyDescent="0.3">
      <c r="A110" t="s">
        <v>1614</v>
      </c>
      <c r="B110" t="s">
        <v>1615</v>
      </c>
      <c r="C110" t="s">
        <v>1616</v>
      </c>
      <c r="D110" s="6" t="str">
        <f>IFERROR(VLOOKUP(A110,base_fiis_inv10!$A$1:$C$282,2,FALSE),"Não encontrado")</f>
        <v>Não encontrado</v>
      </c>
      <c r="E110" s="6" t="str">
        <f>IFERROR(VLOOKUP(A110,base_fiis_inv10!$A$1:$C$282,3,FALSE),"Não encontrado")</f>
        <v>Não encontrado</v>
      </c>
    </row>
    <row r="111" spans="1:5" x14ac:dyDescent="0.3">
      <c r="A111" t="s">
        <v>1617</v>
      </c>
      <c r="B111" t="s">
        <v>1618</v>
      </c>
      <c r="C111" t="s">
        <v>1619</v>
      </c>
      <c r="D111" s="6" t="str">
        <f>IFERROR(VLOOKUP(A111,base_fiis_inv10!$A$1:$C$282,2,FALSE),"Não encontrado")</f>
        <v>Fundo de papel</v>
      </c>
      <c r="E111" s="6" t="str">
        <f>IFERROR(VLOOKUP(A111,base_fiis_inv10!$A$1:$C$282,3,FALSE),"Não encontrado")</f>
        <v>Títulos e Valores Mobiliários</v>
      </c>
    </row>
    <row r="112" spans="1:5" x14ac:dyDescent="0.3">
      <c r="A112" t="s">
        <v>1620</v>
      </c>
      <c r="B112" t="s">
        <v>1621</v>
      </c>
      <c r="C112" t="s">
        <v>1622</v>
      </c>
      <c r="D112" s="6" t="str">
        <f>IFERROR(VLOOKUP(A112,base_fiis_inv10!$A$1:$C$282,2,FALSE),"Não encontrado")</f>
        <v>Não encontrado</v>
      </c>
      <c r="E112" s="6" t="str">
        <f>IFERROR(VLOOKUP(A112,base_fiis_inv10!$A$1:$C$282,3,FALSE),"Não encontrado")</f>
        <v>Não encontrado</v>
      </c>
    </row>
    <row r="113" spans="1:5" x14ac:dyDescent="0.3">
      <c r="A113" t="s">
        <v>1623</v>
      </c>
      <c r="B113" t="s">
        <v>1624</v>
      </c>
      <c r="C113" t="s">
        <v>1625</v>
      </c>
      <c r="D113" s="6" t="str">
        <f>IFERROR(VLOOKUP(A113,base_fiis_inv10!$A$1:$C$282,2,FALSE),"Não encontrado")</f>
        <v>Não encontrado</v>
      </c>
      <c r="E113" s="6" t="str">
        <f>IFERROR(VLOOKUP(A113,base_fiis_inv10!$A$1:$C$282,3,FALSE),"Não encontrado")</f>
        <v>Não encontrado</v>
      </c>
    </row>
    <row r="114" spans="1:5" x14ac:dyDescent="0.3">
      <c r="A114" t="s">
        <v>1626</v>
      </c>
      <c r="B114" t="s">
        <v>1624</v>
      </c>
      <c r="C114" t="s">
        <v>1625</v>
      </c>
      <c r="D114" s="6" t="str">
        <f>IFERROR(VLOOKUP(A114,base_fiis_inv10!$A$1:$C$282,2,FALSE),"Não encontrado")</f>
        <v>Não encontrado</v>
      </c>
      <c r="E114" s="6" t="str">
        <f>IFERROR(VLOOKUP(A114,base_fiis_inv10!$A$1:$C$282,3,FALSE),"Não encontrado")</f>
        <v>Não encontrado</v>
      </c>
    </row>
    <row r="115" spans="1:5" x14ac:dyDescent="0.3">
      <c r="A115" t="s">
        <v>1627</v>
      </c>
      <c r="B115" t="s">
        <v>1628</v>
      </c>
      <c r="C115" t="s">
        <v>1629</v>
      </c>
      <c r="D115" s="6" t="str">
        <f>IFERROR(VLOOKUP(A115,base_fiis_inv10!$A$1:$C$282,2,FALSE),"Não encontrado")</f>
        <v>Fundo de Tijolo</v>
      </c>
      <c r="E115" s="6" t="str">
        <f>IFERROR(VLOOKUP(A115,base_fiis_inv10!$A$1:$C$282,3,FALSE),"Não encontrado")</f>
        <v>Lajes Corporativas</v>
      </c>
    </row>
    <row r="116" spans="1:5" x14ac:dyDescent="0.3">
      <c r="A116" t="s">
        <v>1630</v>
      </c>
      <c r="B116" t="s">
        <v>1631</v>
      </c>
      <c r="C116" t="s">
        <v>1632</v>
      </c>
      <c r="D116" s="6" t="str">
        <f>IFERROR(VLOOKUP(A116,base_fiis_inv10!$A$1:$C$282,2,FALSE),"Não encontrado")</f>
        <v>Fundo de Tijolo</v>
      </c>
      <c r="E116" s="6" t="str">
        <f>IFERROR(VLOOKUP(A116,base_fiis_inv10!$A$1:$C$282,3,FALSE),"Não encontrado")</f>
        <v>Educacional</v>
      </c>
    </row>
    <row r="117" spans="1:5" x14ac:dyDescent="0.3">
      <c r="A117" t="s">
        <v>1633</v>
      </c>
      <c r="B117" t="s">
        <v>1634</v>
      </c>
      <c r="C117" t="s">
        <v>1635</v>
      </c>
      <c r="D117" s="6" t="str">
        <f>IFERROR(VLOOKUP(A117,base_fiis_inv10!$A$1:$C$282,2,FALSE),"Não encontrado")</f>
        <v>Fundo de Tijolo</v>
      </c>
      <c r="E117" s="6" t="str">
        <f>IFERROR(VLOOKUP(A117,base_fiis_inv10!$A$1:$C$282,3,FALSE),"Não encontrado")</f>
        <v>Shoppings / Varejo</v>
      </c>
    </row>
    <row r="118" spans="1:5" x14ac:dyDescent="0.3">
      <c r="A118" t="s">
        <v>1636</v>
      </c>
      <c r="B118" t="s">
        <v>1637</v>
      </c>
      <c r="C118" t="s">
        <v>1638</v>
      </c>
      <c r="D118" s="6" t="str">
        <f>IFERROR(VLOOKUP(A118,base_fiis_inv10!$A$1:$C$282,2,FALSE),"Não encontrado")</f>
        <v>Fundo de Tijolo</v>
      </c>
      <c r="E118" s="6" t="str">
        <f>IFERROR(VLOOKUP(A118,base_fiis_inv10!$A$1:$C$282,3,FALSE),"Não encontrado")</f>
        <v>Logístico / Indústria / Galpões</v>
      </c>
    </row>
    <row r="119" spans="1:5" x14ac:dyDescent="0.3">
      <c r="A119" t="s">
        <v>1639</v>
      </c>
      <c r="B119" t="s">
        <v>1640</v>
      </c>
      <c r="C119" t="s">
        <v>1641</v>
      </c>
      <c r="D119" s="6" t="str">
        <f>IFERROR(VLOOKUP(A119,base_fiis_inv10!$A$1:$C$282,2,FALSE),"Não encontrado")</f>
        <v>Não encontrado</v>
      </c>
      <c r="E119" s="6" t="str">
        <f>IFERROR(VLOOKUP(A119,base_fiis_inv10!$A$1:$C$282,3,FALSE),"Não encontrado")</f>
        <v>Não encontrado</v>
      </c>
    </row>
    <row r="120" spans="1:5" x14ac:dyDescent="0.3">
      <c r="A120" t="s">
        <v>1642</v>
      </c>
      <c r="B120" t="s">
        <v>1643</v>
      </c>
      <c r="C120" t="s">
        <v>1644</v>
      </c>
      <c r="D120" s="6" t="str">
        <f>IFERROR(VLOOKUP(A120,base_fiis_inv10!$A$1:$C$282,2,FALSE),"Não encontrado")</f>
        <v>Não encontrado</v>
      </c>
      <c r="E120" s="6" t="str">
        <f>IFERROR(VLOOKUP(A120,base_fiis_inv10!$A$1:$C$282,3,FALSE),"Não encontrado")</f>
        <v>Não encontrado</v>
      </c>
    </row>
    <row r="121" spans="1:5" x14ac:dyDescent="0.3">
      <c r="A121" t="s">
        <v>1645</v>
      </c>
      <c r="B121" t="s">
        <v>1646</v>
      </c>
      <c r="C121" t="s">
        <v>1647</v>
      </c>
      <c r="D121" s="6" t="str">
        <f>IFERROR(VLOOKUP(A121,base_fiis_inv10!$A$1:$C$282,2,FALSE),"Não encontrado")</f>
        <v>Não encontrado</v>
      </c>
      <c r="E121" s="6" t="str">
        <f>IFERROR(VLOOKUP(A121,base_fiis_inv10!$A$1:$C$282,3,FALSE),"Não encontrado")</f>
        <v>Não encontrado</v>
      </c>
    </row>
    <row r="122" spans="1:5" x14ac:dyDescent="0.3">
      <c r="A122" t="s">
        <v>1648</v>
      </c>
      <c r="B122" t="s">
        <v>1649</v>
      </c>
      <c r="C122" t="s">
        <v>1650</v>
      </c>
      <c r="D122" s="6" t="str">
        <f>IFERROR(VLOOKUP(A122,base_fiis_inv10!$A$1:$C$282,2,FALSE),"Não encontrado")</f>
        <v>Não encontrado</v>
      </c>
      <c r="E122" s="6" t="str">
        <f>IFERROR(VLOOKUP(A122,base_fiis_inv10!$A$1:$C$282,3,FALSE),"Não encontrado")</f>
        <v>Não encontrado</v>
      </c>
    </row>
    <row r="123" spans="1:5" x14ac:dyDescent="0.3">
      <c r="A123" t="s">
        <v>1651</v>
      </c>
      <c r="B123" t="s">
        <v>1652</v>
      </c>
      <c r="C123" t="s">
        <v>1653</v>
      </c>
      <c r="D123" s="6" t="str">
        <f>IFERROR(VLOOKUP(A123,base_fiis_inv10!$A$1:$C$282,2,FALSE),"Não encontrado")</f>
        <v>Fundo de papel</v>
      </c>
      <c r="E123" s="6" t="str">
        <f>IFERROR(VLOOKUP(A123,base_fiis_inv10!$A$1:$C$282,3,FALSE),"Não encontrado")</f>
        <v>Títulos e Valores Mobiliários</v>
      </c>
    </row>
    <row r="124" spans="1:5" x14ac:dyDescent="0.3">
      <c r="A124" t="s">
        <v>1654</v>
      </c>
      <c r="B124" t="s">
        <v>1655</v>
      </c>
      <c r="C124" t="s">
        <v>1656</v>
      </c>
      <c r="D124" s="6" t="str">
        <f>IFERROR(VLOOKUP(A124,base_fiis_inv10!$A$1:$C$282,2,FALSE),"Não encontrado")</f>
        <v>Não encontrado</v>
      </c>
      <c r="E124" s="6" t="str">
        <f>IFERROR(VLOOKUP(A124,base_fiis_inv10!$A$1:$C$282,3,FALSE),"Não encontrado")</f>
        <v>Não encontrado</v>
      </c>
    </row>
    <row r="125" spans="1:5" x14ac:dyDescent="0.3">
      <c r="A125" t="s">
        <v>1657</v>
      </c>
      <c r="B125" t="s">
        <v>1658</v>
      </c>
      <c r="C125" t="s">
        <v>1659</v>
      </c>
      <c r="D125" s="6" t="str">
        <f>IFERROR(VLOOKUP(A125,base_fiis_inv10!$A$1:$C$282,2,FALSE),"Não encontrado")</f>
        <v>Não encontrado</v>
      </c>
      <c r="E125" s="6" t="str">
        <f>IFERROR(VLOOKUP(A125,base_fiis_inv10!$A$1:$C$282,3,FALSE),"Não encontrado")</f>
        <v>Não encontrado</v>
      </c>
    </row>
    <row r="126" spans="1:5" x14ac:dyDescent="0.3">
      <c r="A126" t="s">
        <v>1660</v>
      </c>
      <c r="B126" t="s">
        <v>1661</v>
      </c>
      <c r="C126" t="s">
        <v>1662</v>
      </c>
      <c r="D126" s="6" t="str">
        <f>IFERROR(VLOOKUP(A126,base_fiis_inv10!$A$1:$C$282,2,FALSE),"Não encontrado")</f>
        <v>Não encontrado</v>
      </c>
      <c r="E126" s="6" t="str">
        <f>IFERROR(VLOOKUP(A126,base_fiis_inv10!$A$1:$C$282,3,FALSE),"Não encontrado")</f>
        <v>Não encontrado</v>
      </c>
    </row>
    <row r="127" spans="1:5" x14ac:dyDescent="0.3">
      <c r="A127" t="s">
        <v>1663</v>
      </c>
      <c r="B127" t="s">
        <v>1664</v>
      </c>
      <c r="C127" t="s">
        <v>1665</v>
      </c>
      <c r="D127" s="6" t="str">
        <f>IFERROR(VLOOKUP(A127,base_fiis_inv10!$A$1:$C$282,2,FALSE),"Não encontrado")</f>
        <v>Não encontrado</v>
      </c>
      <c r="E127" s="6" t="str">
        <f>IFERROR(VLOOKUP(A127,base_fiis_inv10!$A$1:$C$282,3,FALSE),"Não encontrado")</f>
        <v>Não encontrado</v>
      </c>
    </row>
    <row r="128" spans="1:5" x14ac:dyDescent="0.3">
      <c r="A128" t="s">
        <v>1666</v>
      </c>
      <c r="B128" t="s">
        <v>1667</v>
      </c>
      <c r="C128" t="s">
        <v>1668</v>
      </c>
      <c r="D128" s="6" t="str">
        <f>IFERROR(VLOOKUP(A128,base_fiis_inv10!$A$1:$C$282,2,FALSE),"Não encontrado")</f>
        <v>Não encontrado</v>
      </c>
      <c r="E128" s="6" t="str">
        <f>IFERROR(VLOOKUP(A128,base_fiis_inv10!$A$1:$C$282,3,FALSE),"Não encontrado")</f>
        <v>Não encontrado</v>
      </c>
    </row>
    <row r="129" spans="1:5" x14ac:dyDescent="0.3">
      <c r="A129" t="s">
        <v>1669</v>
      </c>
      <c r="B129" t="s">
        <v>1670</v>
      </c>
      <c r="C129" t="s">
        <v>1671</v>
      </c>
      <c r="D129" s="6" t="str">
        <f>IFERROR(VLOOKUP(A129,base_fiis_inv10!$A$1:$C$282,2,FALSE),"Não encontrado")</f>
        <v>Não encontrado</v>
      </c>
      <c r="E129" s="6" t="str">
        <f>IFERROR(VLOOKUP(A129,base_fiis_inv10!$A$1:$C$282,3,FALSE),"Não encontrado")</f>
        <v>Não encontrado</v>
      </c>
    </row>
    <row r="130" spans="1:5" x14ac:dyDescent="0.3">
      <c r="A130" t="s">
        <v>1672</v>
      </c>
      <c r="B130" t="s">
        <v>1673</v>
      </c>
      <c r="C130" t="s">
        <v>1674</v>
      </c>
      <c r="D130" s="6" t="str">
        <f>IFERROR(VLOOKUP(A130,base_fiis_inv10!$A$1:$C$282,2,FALSE),"Não encontrado")</f>
        <v>Outro</v>
      </c>
      <c r="E130" s="6" t="str">
        <f>IFERROR(VLOOKUP(A130,base_fiis_inv10!$A$1:$C$282,3,FALSE),"Não encontrado")</f>
        <v>Híbrido</v>
      </c>
    </row>
    <row r="131" spans="1:5" x14ac:dyDescent="0.3">
      <c r="A131" t="s">
        <v>1675</v>
      </c>
      <c r="B131" t="s">
        <v>1676</v>
      </c>
      <c r="C131" t="s">
        <v>1677</v>
      </c>
      <c r="D131" s="6" t="str">
        <f>IFERROR(VLOOKUP(A131,base_fiis_inv10!$A$1:$C$282,2,FALSE),"Não encontrado")</f>
        <v>Não encontrado</v>
      </c>
      <c r="E131" s="6" t="str">
        <f>IFERROR(VLOOKUP(A131,base_fiis_inv10!$A$1:$C$282,3,FALSE),"Não encontrado")</f>
        <v>Não encontrado</v>
      </c>
    </row>
    <row r="132" spans="1:5" x14ac:dyDescent="0.3">
      <c r="A132" t="s">
        <v>1678</v>
      </c>
      <c r="B132" t="s">
        <v>1679</v>
      </c>
      <c r="C132" t="s">
        <v>1680</v>
      </c>
      <c r="D132" s="6" t="str">
        <f>IFERROR(VLOOKUP(A132,base_fiis_inv10!$A$1:$C$282,2,FALSE),"Não encontrado")</f>
        <v>Não encontrado</v>
      </c>
      <c r="E132" s="6" t="str">
        <f>IFERROR(VLOOKUP(A132,base_fiis_inv10!$A$1:$C$282,3,FALSE),"Não encontrado")</f>
        <v>Não encontrado</v>
      </c>
    </row>
    <row r="133" spans="1:5" x14ac:dyDescent="0.3">
      <c r="A133" t="s">
        <v>1681</v>
      </c>
      <c r="B133" t="s">
        <v>1682</v>
      </c>
      <c r="C133" t="s">
        <v>1683</v>
      </c>
      <c r="D133" s="6" t="str">
        <f>IFERROR(VLOOKUP(A133,base_fiis_inv10!$A$1:$C$282,2,FALSE),"Não encontrado")</f>
        <v>Fundo de papel</v>
      </c>
      <c r="E133" s="6" t="str">
        <f>IFERROR(VLOOKUP(A133,base_fiis_inv10!$A$1:$C$282,3,FALSE),"Não encontrado")</f>
        <v>Outros</v>
      </c>
    </row>
    <row r="134" spans="1:5" x14ac:dyDescent="0.3">
      <c r="A134" t="s">
        <v>1684</v>
      </c>
      <c r="B134" t="s">
        <v>1679</v>
      </c>
      <c r="C134" t="s">
        <v>1680</v>
      </c>
      <c r="D134" s="6" t="str">
        <f>IFERROR(VLOOKUP(A134,base_fiis_inv10!$A$1:$C$282,2,FALSE),"Não encontrado")</f>
        <v>Fundo de Tijolo</v>
      </c>
      <c r="E134" s="6" t="str">
        <f>IFERROR(VLOOKUP(A134,base_fiis_inv10!$A$1:$C$282,3,FALSE),"Não encontrado")</f>
        <v>Híbrido</v>
      </c>
    </row>
    <row r="135" spans="1:5" x14ac:dyDescent="0.3">
      <c r="A135" t="s">
        <v>1685</v>
      </c>
      <c r="B135" t="s">
        <v>1686</v>
      </c>
      <c r="C135" t="s">
        <v>1687</v>
      </c>
      <c r="D135" s="6" t="str">
        <f>IFERROR(VLOOKUP(A135,base_fiis_inv10!$A$1:$C$282,2,FALSE),"Não encontrado")</f>
        <v>Não encontrado</v>
      </c>
      <c r="E135" s="6" t="str">
        <f>IFERROR(VLOOKUP(A135,base_fiis_inv10!$A$1:$C$282,3,FALSE),"Não encontrado")</f>
        <v>Não encontrado</v>
      </c>
    </row>
    <row r="136" spans="1:5" x14ac:dyDescent="0.3">
      <c r="A136" t="s">
        <v>1688</v>
      </c>
      <c r="B136" t="s">
        <v>1689</v>
      </c>
      <c r="C136" t="s">
        <v>1690</v>
      </c>
      <c r="D136" s="6" t="str">
        <f>IFERROR(VLOOKUP(A136,base_fiis_inv10!$A$1:$C$282,2,FALSE),"Não encontrado")</f>
        <v>Fundo de papel</v>
      </c>
      <c r="E136" s="6" t="str">
        <f>IFERROR(VLOOKUP(A136,base_fiis_inv10!$A$1:$C$282,3,FALSE),"Não encontrado")</f>
        <v>Títulos e Valores Mobiliários</v>
      </c>
    </row>
    <row r="137" spans="1:5" x14ac:dyDescent="0.3">
      <c r="A137" t="s">
        <v>1691</v>
      </c>
      <c r="B137" t="s">
        <v>1692</v>
      </c>
      <c r="C137" t="s">
        <v>1693</v>
      </c>
      <c r="D137" s="6" t="str">
        <f>IFERROR(VLOOKUP(A137,base_fiis_inv10!$A$1:$C$282,2,FALSE),"Não encontrado")</f>
        <v>Fundo de Tijolo</v>
      </c>
      <c r="E137" s="6" t="str">
        <f>IFERROR(VLOOKUP(A137,base_fiis_inv10!$A$1:$C$282,3,FALSE),"Não encontrado")</f>
        <v>Logístico / Indústria / Galpões</v>
      </c>
    </row>
    <row r="138" spans="1:5" x14ac:dyDescent="0.3">
      <c r="A138" t="s">
        <v>1694</v>
      </c>
      <c r="B138" t="s">
        <v>1695</v>
      </c>
      <c r="C138" t="s">
        <v>1696</v>
      </c>
      <c r="D138" s="6" t="str">
        <f>IFERROR(VLOOKUP(A138,base_fiis_inv10!$A$1:$C$282,2,FALSE),"Não encontrado")</f>
        <v>Fundo de Tijolo</v>
      </c>
      <c r="E138" s="6" t="str">
        <f>IFERROR(VLOOKUP(A138,base_fiis_inv10!$A$1:$C$282,3,FALSE),"Não encontrado")</f>
        <v>Logístico / Indústria / Galpões</v>
      </c>
    </row>
    <row r="139" spans="1:5" x14ac:dyDescent="0.3">
      <c r="A139" t="s">
        <v>1697</v>
      </c>
      <c r="B139" t="s">
        <v>1698</v>
      </c>
      <c r="C139" t="s">
        <v>1699</v>
      </c>
      <c r="D139" s="6" t="str">
        <f>IFERROR(VLOOKUP(A139,base_fiis_inv10!$A$1:$C$282,2,FALSE),"Não encontrado")</f>
        <v>Fundo de Tijolo</v>
      </c>
      <c r="E139" s="6" t="str">
        <f>IFERROR(VLOOKUP(A139,base_fiis_inv10!$A$1:$C$282,3,FALSE),"Não encontrado")</f>
        <v>Shoppings / Varejo</v>
      </c>
    </row>
    <row r="140" spans="1:5" x14ac:dyDescent="0.3">
      <c r="A140" t="s">
        <v>1700</v>
      </c>
      <c r="B140" t="s">
        <v>1701</v>
      </c>
      <c r="C140" t="s">
        <v>1702</v>
      </c>
      <c r="D140" s="6" t="str">
        <f>IFERROR(VLOOKUP(A140,base_fiis_inv10!$A$1:$C$282,2,FALSE),"Não encontrado")</f>
        <v>Fundo de Tijolo</v>
      </c>
      <c r="E140" s="6" t="str">
        <f>IFERROR(VLOOKUP(A140,base_fiis_inv10!$A$1:$C$282,3,FALSE),"Não encontrado")</f>
        <v>Lajes Corporativas</v>
      </c>
    </row>
    <row r="141" spans="1:5" x14ac:dyDescent="0.3">
      <c r="A141" t="s">
        <v>1703</v>
      </c>
      <c r="B141" t="s">
        <v>1704</v>
      </c>
      <c r="C141" t="s">
        <v>1705</v>
      </c>
      <c r="D141" s="6" t="str">
        <f>IFERROR(VLOOKUP(A141,base_fiis_inv10!$A$1:$C$282,2,FALSE),"Não encontrado")</f>
        <v>Fundo misto</v>
      </c>
      <c r="E141" s="6" t="str">
        <f>IFERROR(VLOOKUP(A141,base_fiis_inv10!$A$1:$C$282,3,FALSE),"Não encontrado")</f>
        <v>Híbrido</v>
      </c>
    </row>
    <row r="142" spans="1:5" x14ac:dyDescent="0.3">
      <c r="A142" t="s">
        <v>1706</v>
      </c>
      <c r="B142" t="s">
        <v>1707</v>
      </c>
      <c r="C142" t="s">
        <v>1708</v>
      </c>
      <c r="D142" s="6" t="str">
        <f>IFERROR(VLOOKUP(A142,base_fiis_inv10!$A$1:$C$282,2,FALSE),"Não encontrado")</f>
        <v>Não encontrado</v>
      </c>
      <c r="E142" s="6" t="str">
        <f>IFERROR(VLOOKUP(A142,base_fiis_inv10!$A$1:$C$282,3,FALSE),"Não encontrado")</f>
        <v>Não encontrado</v>
      </c>
    </row>
    <row r="143" spans="1:5" x14ac:dyDescent="0.3">
      <c r="A143" t="s">
        <v>1709</v>
      </c>
      <c r="B143" t="s">
        <v>1710</v>
      </c>
      <c r="C143" t="s">
        <v>1711</v>
      </c>
      <c r="D143" s="6" t="str">
        <f>IFERROR(VLOOKUP(A143,base_fiis_inv10!$A$1:$C$282,2,FALSE),"Não encontrado")</f>
        <v>Fundo de papel</v>
      </c>
      <c r="E143" s="6" t="str">
        <f>IFERROR(VLOOKUP(A143,base_fiis_inv10!$A$1:$C$282,3,FALSE),"Não encontrado")</f>
        <v>Títulos e Valores Mobiliários</v>
      </c>
    </row>
    <row r="144" spans="1:5" x14ac:dyDescent="0.3">
      <c r="A144" t="s">
        <v>1712</v>
      </c>
      <c r="B144" t="s">
        <v>1713</v>
      </c>
      <c r="C144" t="s">
        <v>1714</v>
      </c>
      <c r="D144" s="6" t="str">
        <f>IFERROR(VLOOKUP(A144,base_fiis_inv10!$A$1:$C$282,2,FALSE),"Não encontrado")</f>
        <v>Fundo misto</v>
      </c>
      <c r="E144" s="6" t="str">
        <f>IFERROR(VLOOKUP(A144,base_fiis_inv10!$A$1:$C$282,3,FALSE),"Não encontrado")</f>
        <v>Lajes Corporativas</v>
      </c>
    </row>
    <row r="145" spans="1:5" x14ac:dyDescent="0.3">
      <c r="A145" t="s">
        <v>1715</v>
      </c>
      <c r="B145" t="s">
        <v>1716</v>
      </c>
      <c r="C145" t="s">
        <v>1717</v>
      </c>
      <c r="D145" s="6" t="str">
        <f>IFERROR(VLOOKUP(A145,base_fiis_inv10!$A$1:$C$282,2,FALSE),"Não encontrado")</f>
        <v>Não encontrado</v>
      </c>
      <c r="E145" s="6" t="str">
        <f>IFERROR(VLOOKUP(A145,base_fiis_inv10!$A$1:$C$282,3,FALSE),"Não encontrado")</f>
        <v>Não encontrado</v>
      </c>
    </row>
    <row r="146" spans="1:5" x14ac:dyDescent="0.3">
      <c r="A146" t="s">
        <v>1718</v>
      </c>
      <c r="B146" t="s">
        <v>1719</v>
      </c>
      <c r="C146" t="s">
        <v>1720</v>
      </c>
      <c r="D146" s="6" t="str">
        <f>IFERROR(VLOOKUP(A146,base_fiis_inv10!$A$1:$C$282,2,FALSE),"Não encontrado")</f>
        <v>Fundo de papel</v>
      </c>
      <c r="E146" s="6" t="str">
        <f>IFERROR(VLOOKUP(A146,base_fiis_inv10!$A$1:$C$282,3,FALSE),"Não encontrado")</f>
        <v>Outros</v>
      </c>
    </row>
    <row r="147" spans="1:5" x14ac:dyDescent="0.3">
      <c r="A147" t="s">
        <v>1721</v>
      </c>
      <c r="B147" t="s">
        <v>1722</v>
      </c>
      <c r="C147" t="s">
        <v>1723</v>
      </c>
      <c r="D147" s="6" t="str">
        <f>IFERROR(VLOOKUP(A147,base_fiis_inv10!$A$1:$C$282,2,FALSE),"Não encontrado")</f>
        <v>Não encontrado</v>
      </c>
      <c r="E147" s="6" t="str">
        <f>IFERROR(VLOOKUP(A147,base_fiis_inv10!$A$1:$C$282,3,FALSE),"Não encontrado")</f>
        <v>Não encontrado</v>
      </c>
    </row>
    <row r="148" spans="1:5" x14ac:dyDescent="0.3">
      <c r="A148" t="s">
        <v>1724</v>
      </c>
      <c r="B148" t="s">
        <v>1725</v>
      </c>
      <c r="C148" t="s">
        <v>1726</v>
      </c>
      <c r="D148" s="6" t="str">
        <f>IFERROR(VLOOKUP(A148,base_fiis_inv10!$A$1:$C$282,2,FALSE),"Não encontrado")</f>
        <v>Não encontrado</v>
      </c>
      <c r="E148" s="6" t="str">
        <f>IFERROR(VLOOKUP(A148,base_fiis_inv10!$A$1:$C$282,3,FALSE),"Não encontrado")</f>
        <v>Não encontrado</v>
      </c>
    </row>
    <row r="149" spans="1:5" x14ac:dyDescent="0.3">
      <c r="A149" t="s">
        <v>1727</v>
      </c>
      <c r="B149" t="s">
        <v>1728</v>
      </c>
      <c r="C149" t="s">
        <v>1729</v>
      </c>
      <c r="D149" s="6" t="str">
        <f>IFERROR(VLOOKUP(A149,base_fiis_inv10!$A$1:$C$282,2,FALSE),"Não encontrado")</f>
        <v>Fundo de papel</v>
      </c>
      <c r="E149" s="6" t="str">
        <f>IFERROR(VLOOKUP(A149,base_fiis_inv10!$A$1:$C$282,3,FALSE),"Não encontrado")</f>
        <v>Títulos e Valores Mobiliários</v>
      </c>
    </row>
    <row r="150" spans="1:5" x14ac:dyDescent="0.3">
      <c r="A150" t="s">
        <v>1730</v>
      </c>
      <c r="B150" t="s">
        <v>1731</v>
      </c>
      <c r="C150" t="s">
        <v>1732</v>
      </c>
      <c r="D150" s="6" t="str">
        <f>IFERROR(VLOOKUP(A150,base_fiis_inv10!$A$1:$C$282,2,FALSE),"Não encontrado")</f>
        <v>Não encontrado</v>
      </c>
      <c r="E150" s="6" t="str">
        <f>IFERROR(VLOOKUP(A150,base_fiis_inv10!$A$1:$C$282,3,FALSE),"Não encontrado")</f>
        <v>Não encontrado</v>
      </c>
    </row>
    <row r="151" spans="1:5" x14ac:dyDescent="0.3">
      <c r="A151" t="s">
        <v>1733</v>
      </c>
      <c r="B151" t="s">
        <v>1734</v>
      </c>
      <c r="C151" t="s">
        <v>1735</v>
      </c>
      <c r="D151" s="6" t="str">
        <f>IFERROR(VLOOKUP(A151,base_fiis_inv10!$A$1:$C$282,2,FALSE),"Não encontrado")</f>
        <v>Fundo de desenvolvimento</v>
      </c>
      <c r="E151" s="6" t="str">
        <f>IFERROR(VLOOKUP(A151,base_fiis_inv10!$A$1:$C$282,3,FALSE),"Não encontrado")</f>
        <v>Lajes Corporativas</v>
      </c>
    </row>
    <row r="152" spans="1:5" x14ac:dyDescent="0.3">
      <c r="A152" t="s">
        <v>1736</v>
      </c>
      <c r="B152" t="s">
        <v>1737</v>
      </c>
      <c r="C152" t="s">
        <v>1738</v>
      </c>
      <c r="D152" s="6" t="str">
        <f>IFERROR(VLOOKUP(A152,base_fiis_inv10!$A$1:$C$282,2,FALSE),"Não encontrado")</f>
        <v>Fundo de fundos</v>
      </c>
      <c r="E152" s="6" t="str">
        <f>IFERROR(VLOOKUP(A152,base_fiis_inv10!$A$1:$C$282,3,FALSE),"Não encontrado")</f>
        <v>Títulos e Valores Mobiliários</v>
      </c>
    </row>
    <row r="153" spans="1:5" x14ac:dyDescent="0.3">
      <c r="A153" t="s">
        <v>1739</v>
      </c>
      <c r="B153" t="s">
        <v>1740</v>
      </c>
      <c r="C153" t="s">
        <v>1741</v>
      </c>
      <c r="D153" s="6" t="str">
        <f>IFERROR(VLOOKUP(A153,base_fiis_inv10!$A$1:$C$282,2,FALSE),"Não encontrado")</f>
        <v>Fundo de Tijolo</v>
      </c>
      <c r="E153" s="6" t="str">
        <f>IFERROR(VLOOKUP(A153,base_fiis_inv10!$A$1:$C$282,3,FALSE),"Não encontrado")</f>
        <v>Logístico / Indústria / Galpões</v>
      </c>
    </row>
    <row r="154" spans="1:5" x14ac:dyDescent="0.3">
      <c r="A154" t="s">
        <v>1742</v>
      </c>
      <c r="B154" t="s">
        <v>1743</v>
      </c>
      <c r="C154" t="s">
        <v>1744</v>
      </c>
      <c r="D154" s="6" t="str">
        <f>IFERROR(VLOOKUP(A154,base_fiis_inv10!$A$1:$C$282,2,FALSE),"Não encontrado")</f>
        <v>Fundo de Tijolo</v>
      </c>
      <c r="E154" s="6" t="str">
        <f>IFERROR(VLOOKUP(A154,base_fiis_inv10!$A$1:$C$282,3,FALSE),"Não encontrado")</f>
        <v>Shoppings / Varejo</v>
      </c>
    </row>
    <row r="155" spans="1:5" x14ac:dyDescent="0.3">
      <c r="A155" t="s">
        <v>1745</v>
      </c>
      <c r="B155" t="s">
        <v>1746</v>
      </c>
      <c r="C155" t="s">
        <v>1747</v>
      </c>
      <c r="D155" s="6" t="str">
        <f>IFERROR(VLOOKUP(A155,base_fiis_inv10!$A$1:$C$282,2,FALSE),"Não encontrado")</f>
        <v>Fundo de papel</v>
      </c>
      <c r="E155" s="6" t="str">
        <f>IFERROR(VLOOKUP(A155,base_fiis_inv10!$A$1:$C$282,3,FALSE),"Não encontrado")</f>
        <v>Títulos e Valores Mobiliários</v>
      </c>
    </row>
    <row r="156" spans="1:5" x14ac:dyDescent="0.3">
      <c r="A156" t="s">
        <v>1748</v>
      </c>
      <c r="B156" t="s">
        <v>1749</v>
      </c>
      <c r="C156" t="s">
        <v>1750</v>
      </c>
      <c r="D156" s="6" t="str">
        <f>IFERROR(VLOOKUP(A156,base_fiis_inv10!$A$1:$C$282,2,FALSE),"Não encontrado")</f>
        <v>Fundo de fundos</v>
      </c>
      <c r="E156" s="6" t="str">
        <f>IFERROR(VLOOKUP(A156,base_fiis_inv10!$A$1:$C$282,3,FALSE),"Não encontrado")</f>
        <v>Títulos e Valores Mobiliários</v>
      </c>
    </row>
    <row r="157" spans="1:5" x14ac:dyDescent="0.3">
      <c r="A157" t="s">
        <v>1751</v>
      </c>
      <c r="B157" t="s">
        <v>1752</v>
      </c>
      <c r="C157" t="s">
        <v>1753</v>
      </c>
      <c r="D157" s="6" t="str">
        <f>IFERROR(VLOOKUP(A157,base_fiis_inv10!$A$1:$C$282,2,FALSE),"Não encontrado")</f>
        <v>Não encontrado</v>
      </c>
      <c r="E157" s="6" t="str">
        <f>IFERROR(VLOOKUP(A157,base_fiis_inv10!$A$1:$C$282,3,FALSE),"Não encontrado")</f>
        <v>Não encontrado</v>
      </c>
    </row>
    <row r="158" spans="1:5" x14ac:dyDescent="0.3">
      <c r="A158" t="s">
        <v>1754</v>
      </c>
      <c r="B158" t="s">
        <v>1755</v>
      </c>
      <c r="C158" t="s">
        <v>1756</v>
      </c>
      <c r="D158" s="6" t="str">
        <f>IFERROR(VLOOKUP(A158,base_fiis_inv10!$A$1:$C$282,2,FALSE),"Não encontrado")</f>
        <v>Fundo de Tijolo</v>
      </c>
      <c r="E158" s="6" t="str">
        <f>IFERROR(VLOOKUP(A158,base_fiis_inv10!$A$1:$C$282,3,FALSE),"Não encontrado")</f>
        <v>Logístico / Indústria / Galpões</v>
      </c>
    </row>
    <row r="159" spans="1:5" x14ac:dyDescent="0.3">
      <c r="A159" t="s">
        <v>1757</v>
      </c>
      <c r="B159" t="s">
        <v>1758</v>
      </c>
      <c r="C159" t="s">
        <v>1759</v>
      </c>
      <c r="D159" s="6" t="str">
        <f>IFERROR(VLOOKUP(A159,base_fiis_inv10!$A$1:$C$282,2,FALSE),"Não encontrado")</f>
        <v>Fundo de Tijolo</v>
      </c>
      <c r="E159" s="6" t="str">
        <f>IFERROR(VLOOKUP(A159,base_fiis_inv10!$A$1:$C$282,3,FALSE),"Não encontrado")</f>
        <v>Lajes Corporativas</v>
      </c>
    </row>
    <row r="160" spans="1:5" x14ac:dyDescent="0.3">
      <c r="A160" t="s">
        <v>1760</v>
      </c>
      <c r="B160" t="s">
        <v>1761</v>
      </c>
      <c r="C160" t="s">
        <v>1762</v>
      </c>
      <c r="D160" s="6" t="str">
        <f>IFERROR(VLOOKUP(A160,base_fiis_inv10!$A$1:$C$282,2,FALSE),"Não encontrado")</f>
        <v>Fundo de Tijolo</v>
      </c>
      <c r="E160" s="6" t="str">
        <f>IFERROR(VLOOKUP(A160,base_fiis_inv10!$A$1:$C$282,3,FALSE),"Não encontrado")</f>
        <v>Lajes Corporativas</v>
      </c>
    </row>
    <row r="161" spans="1:5" x14ac:dyDescent="0.3">
      <c r="A161" t="s">
        <v>1763</v>
      </c>
      <c r="B161" t="s">
        <v>1764</v>
      </c>
      <c r="C161" t="s">
        <v>1765</v>
      </c>
      <c r="D161" s="6" t="str">
        <f>IFERROR(VLOOKUP(A161,base_fiis_inv10!$A$1:$C$282,2,FALSE),"Não encontrado")</f>
        <v>Fundo misto</v>
      </c>
      <c r="E161" s="6" t="str">
        <f>IFERROR(VLOOKUP(A161,base_fiis_inv10!$A$1:$C$282,3,FALSE),"Não encontrado")</f>
        <v>Híbrido</v>
      </c>
    </row>
    <row r="162" spans="1:5" x14ac:dyDescent="0.3">
      <c r="A162" t="s">
        <v>1766</v>
      </c>
      <c r="B162" t="s">
        <v>1767</v>
      </c>
      <c r="C162" t="s">
        <v>1768</v>
      </c>
      <c r="D162" s="6" t="str">
        <f>IFERROR(VLOOKUP(A162,base_fiis_inv10!$A$1:$C$282,2,FALSE),"Não encontrado")</f>
        <v>Não encontrado</v>
      </c>
      <c r="E162" s="6" t="str">
        <f>IFERROR(VLOOKUP(A162,base_fiis_inv10!$A$1:$C$282,3,FALSE),"Não encontrado")</f>
        <v>Não encontrado</v>
      </c>
    </row>
    <row r="163" spans="1:5" x14ac:dyDescent="0.3">
      <c r="A163" t="s">
        <v>1769</v>
      </c>
      <c r="B163" t="s">
        <v>1770</v>
      </c>
      <c r="C163" t="s">
        <v>1771</v>
      </c>
      <c r="D163" s="6" t="str">
        <f>IFERROR(VLOOKUP(A163,base_fiis_inv10!$A$1:$C$282,2,FALSE),"Não encontrado")</f>
        <v>Fundo de Tijolo</v>
      </c>
      <c r="E163" s="6" t="str">
        <f>IFERROR(VLOOKUP(A163,base_fiis_inv10!$A$1:$C$282,3,FALSE),"Não encontrado")</f>
        <v>Logístico / Indústria / Galpões</v>
      </c>
    </row>
    <row r="164" spans="1:5" x14ac:dyDescent="0.3">
      <c r="A164" t="s">
        <v>1772</v>
      </c>
      <c r="B164" t="s">
        <v>1773</v>
      </c>
      <c r="C164" t="s">
        <v>1774</v>
      </c>
      <c r="D164" s="6" t="str">
        <f>IFERROR(VLOOKUP(A164,base_fiis_inv10!$A$1:$C$282,2,FALSE),"Não encontrado")</f>
        <v>Fundo de Tijolo</v>
      </c>
      <c r="E164" s="6" t="str">
        <f>IFERROR(VLOOKUP(A164,base_fiis_inv10!$A$1:$C$282,3,FALSE),"Não encontrado")</f>
        <v>Lajes Corporativas</v>
      </c>
    </row>
    <row r="165" spans="1:5" x14ac:dyDescent="0.3">
      <c r="A165" t="s">
        <v>1775</v>
      </c>
      <c r="B165" t="s">
        <v>1776</v>
      </c>
      <c r="C165" t="s">
        <v>1777</v>
      </c>
      <c r="D165" s="6" t="str">
        <f>IFERROR(VLOOKUP(A165,base_fiis_inv10!$A$1:$C$282,2,FALSE),"Não encontrado")</f>
        <v>Não encontrado</v>
      </c>
      <c r="E165" s="6" t="str">
        <f>IFERROR(VLOOKUP(A165,base_fiis_inv10!$A$1:$C$282,3,FALSE),"Não encontrado")</f>
        <v>Não encontrado</v>
      </c>
    </row>
    <row r="166" spans="1:5" x14ac:dyDescent="0.3">
      <c r="A166" t="s">
        <v>1778</v>
      </c>
      <c r="B166" t="s">
        <v>1779</v>
      </c>
      <c r="C166" t="s">
        <v>1780</v>
      </c>
      <c r="D166" s="6" t="str">
        <f>IFERROR(VLOOKUP(A166,base_fiis_inv10!$A$1:$C$282,2,FALSE),"Não encontrado")</f>
        <v>Fundo de Tijolo</v>
      </c>
      <c r="E166" s="6" t="str">
        <f>IFERROR(VLOOKUP(A166,base_fiis_inv10!$A$1:$C$282,3,FALSE),"Não encontrado")</f>
        <v>Shoppings / Varejo</v>
      </c>
    </row>
    <row r="167" spans="1:5" x14ac:dyDescent="0.3">
      <c r="A167" t="s">
        <v>1781</v>
      </c>
      <c r="B167" t="s">
        <v>1782</v>
      </c>
      <c r="C167" t="s">
        <v>1783</v>
      </c>
      <c r="D167" s="6" t="str">
        <f>IFERROR(VLOOKUP(A167,base_fiis_inv10!$A$1:$C$282,2,FALSE),"Não encontrado")</f>
        <v>Não encontrado</v>
      </c>
      <c r="E167" s="6" t="str">
        <f>IFERROR(VLOOKUP(A167,base_fiis_inv10!$A$1:$C$282,3,FALSE),"Não encontrado")</f>
        <v>Não encontrado</v>
      </c>
    </row>
    <row r="168" spans="1:5" x14ac:dyDescent="0.3">
      <c r="A168" t="s">
        <v>1784</v>
      </c>
      <c r="B168" t="s">
        <v>1785</v>
      </c>
      <c r="C168" t="s">
        <v>1786</v>
      </c>
      <c r="D168" s="6" t="str">
        <f>IFERROR(VLOOKUP(A168,base_fiis_inv10!$A$1:$C$282,2,FALSE),"Não encontrado")</f>
        <v>Fundo de papel</v>
      </c>
      <c r="E168" s="6" t="str">
        <f>IFERROR(VLOOKUP(A168,base_fiis_inv10!$A$1:$C$282,3,FALSE),"Não encontrado")</f>
        <v>Títulos e Valores Mobiliários</v>
      </c>
    </row>
    <row r="169" spans="1:5" x14ac:dyDescent="0.3">
      <c r="A169" t="s">
        <v>1787</v>
      </c>
      <c r="B169" t="s">
        <v>1788</v>
      </c>
      <c r="C169" t="s">
        <v>1789</v>
      </c>
      <c r="D169" s="6" t="str">
        <f>IFERROR(VLOOKUP(A169,base_fiis_inv10!$A$1:$C$282,2,FALSE),"Não encontrado")</f>
        <v>Fundo de desenvolvimento</v>
      </c>
      <c r="E169" s="6" t="str">
        <f>IFERROR(VLOOKUP(A169,base_fiis_inv10!$A$1:$C$282,3,FALSE),"Não encontrado")</f>
        <v>Híbrido</v>
      </c>
    </row>
    <row r="170" spans="1:5" x14ac:dyDescent="0.3">
      <c r="A170" t="s">
        <v>1790</v>
      </c>
      <c r="B170" t="s">
        <v>1791</v>
      </c>
      <c r="C170" t="s">
        <v>1792</v>
      </c>
      <c r="D170" s="6" t="str">
        <f>IFERROR(VLOOKUP(A170,base_fiis_inv10!$A$1:$C$282,2,FALSE),"Não encontrado")</f>
        <v>Fundo de papel</v>
      </c>
      <c r="E170" s="6" t="str">
        <f>IFERROR(VLOOKUP(A170,base_fiis_inv10!$A$1:$C$282,3,FALSE),"Não encontrado")</f>
        <v>Títulos e Valores Mobiliários</v>
      </c>
    </row>
    <row r="171" spans="1:5" x14ac:dyDescent="0.3">
      <c r="A171" t="s">
        <v>1793</v>
      </c>
      <c r="B171" t="s">
        <v>1794</v>
      </c>
      <c r="C171" t="s">
        <v>1795</v>
      </c>
      <c r="D171" s="6" t="str">
        <f>IFERROR(VLOOKUP(A171,base_fiis_inv10!$A$1:$C$282,2,FALSE),"Não encontrado")</f>
        <v>Fundo de Tijolo</v>
      </c>
      <c r="E171" s="6" t="str">
        <f>IFERROR(VLOOKUP(A171,base_fiis_inv10!$A$1:$C$282,3,FALSE),"Não encontrado")</f>
        <v>Logístico / Indústria / Galpões</v>
      </c>
    </row>
    <row r="172" spans="1:5" x14ac:dyDescent="0.3">
      <c r="A172" t="s">
        <v>1796</v>
      </c>
      <c r="B172" t="s">
        <v>1797</v>
      </c>
      <c r="C172" t="s">
        <v>1798</v>
      </c>
      <c r="D172" s="6" t="str">
        <f>IFERROR(VLOOKUP(A172,base_fiis_inv10!$A$1:$C$282,2,FALSE),"Não encontrado")</f>
        <v>Fundo de Tijolo</v>
      </c>
      <c r="E172" s="6" t="str">
        <f>IFERROR(VLOOKUP(A172,base_fiis_inv10!$A$1:$C$282,3,FALSE),"Não encontrado")</f>
        <v>Shoppings / Varejo</v>
      </c>
    </row>
    <row r="173" spans="1:5" x14ac:dyDescent="0.3">
      <c r="A173" t="s">
        <v>1799</v>
      </c>
      <c r="B173" t="s">
        <v>1800</v>
      </c>
      <c r="C173" t="s">
        <v>1801</v>
      </c>
      <c r="D173" s="6" t="str">
        <f>IFERROR(VLOOKUP(A173,base_fiis_inv10!$A$1:$C$282,2,FALSE),"Não encontrado")</f>
        <v>Fundo misto</v>
      </c>
      <c r="E173" s="6" t="str">
        <f>IFERROR(VLOOKUP(A173,base_fiis_inv10!$A$1:$C$282,3,FALSE),"Não encontrado")</f>
        <v>Híbrido</v>
      </c>
    </row>
    <row r="174" spans="1:5" x14ac:dyDescent="0.3">
      <c r="A174" t="s">
        <v>1802</v>
      </c>
      <c r="B174" t="s">
        <v>1803</v>
      </c>
      <c r="C174" t="s">
        <v>1804</v>
      </c>
      <c r="D174" s="6" t="str">
        <f>IFERROR(VLOOKUP(A174,base_fiis_inv10!$A$1:$C$282,2,FALSE),"Não encontrado")</f>
        <v>Fundo de Tijolo</v>
      </c>
      <c r="E174" s="6" t="str">
        <f>IFERROR(VLOOKUP(A174,base_fiis_inv10!$A$1:$C$282,3,FALSE),"Não encontrado")</f>
        <v>Hotéis</v>
      </c>
    </row>
    <row r="175" spans="1:5" x14ac:dyDescent="0.3">
      <c r="A175" t="s">
        <v>1805</v>
      </c>
      <c r="B175" t="s">
        <v>1806</v>
      </c>
      <c r="C175" t="s">
        <v>1807</v>
      </c>
      <c r="D175" s="6" t="str">
        <f>IFERROR(VLOOKUP(A175,base_fiis_inv10!$A$1:$C$282,2,FALSE),"Não encontrado")</f>
        <v>Não encontrado</v>
      </c>
      <c r="E175" s="6" t="str">
        <f>IFERROR(VLOOKUP(A175,base_fiis_inv10!$A$1:$C$282,3,FALSE),"Não encontrado")</f>
        <v>Não encontrado</v>
      </c>
    </row>
    <row r="176" spans="1:5" x14ac:dyDescent="0.3">
      <c r="A176" t="s">
        <v>1808</v>
      </c>
      <c r="B176" t="s">
        <v>1809</v>
      </c>
      <c r="C176" t="s">
        <v>1810</v>
      </c>
      <c r="D176" s="6" t="str">
        <f>IFERROR(VLOOKUP(A176,base_fiis_inv10!$A$1:$C$282,2,FALSE),"Não encontrado")</f>
        <v>Não encontrado</v>
      </c>
      <c r="E176" s="6" t="str">
        <f>IFERROR(VLOOKUP(A176,base_fiis_inv10!$A$1:$C$282,3,FALSE),"Não encontrado")</f>
        <v>Não encontrado</v>
      </c>
    </row>
    <row r="177" spans="1:5" x14ac:dyDescent="0.3">
      <c r="A177" t="s">
        <v>1811</v>
      </c>
      <c r="B177" t="s">
        <v>1812</v>
      </c>
      <c r="C177" t="s">
        <v>1813</v>
      </c>
      <c r="D177" s="6" t="str">
        <f>IFERROR(VLOOKUP(A177,base_fiis_inv10!$A$1:$C$282,2,FALSE),"Não encontrado")</f>
        <v>Não encontrado</v>
      </c>
      <c r="E177" s="6" t="str">
        <f>IFERROR(VLOOKUP(A177,base_fiis_inv10!$A$1:$C$282,3,FALSE),"Não encontrado")</f>
        <v>Não encontrado</v>
      </c>
    </row>
    <row r="178" spans="1:5" x14ac:dyDescent="0.3">
      <c r="A178" t="s">
        <v>1814</v>
      </c>
      <c r="B178" t="s">
        <v>1815</v>
      </c>
      <c r="C178" t="s">
        <v>1816</v>
      </c>
      <c r="D178" s="6" t="str">
        <f>IFERROR(VLOOKUP(A178,base_fiis_inv10!$A$1:$C$282,2,FALSE),"Não encontrado")</f>
        <v>Não encontrado</v>
      </c>
      <c r="E178" s="6" t="str">
        <f>IFERROR(VLOOKUP(A178,base_fiis_inv10!$A$1:$C$282,3,FALSE),"Não encontrado")</f>
        <v>Não encontrado</v>
      </c>
    </row>
    <row r="179" spans="1:5" x14ac:dyDescent="0.3">
      <c r="A179" t="s">
        <v>1817</v>
      </c>
      <c r="B179" t="s">
        <v>1818</v>
      </c>
      <c r="C179" t="s">
        <v>1819</v>
      </c>
      <c r="D179" s="6" t="str">
        <f>IFERROR(VLOOKUP(A179,base_fiis_inv10!$A$1:$C$282,2,FALSE),"Não encontrado")</f>
        <v>Fundo de papel</v>
      </c>
      <c r="E179" s="6" t="str">
        <f>IFERROR(VLOOKUP(A179,base_fiis_inv10!$A$1:$C$282,3,FALSE),"Não encontrado")</f>
        <v>Títulos e Valores Mobiliários</v>
      </c>
    </row>
    <row r="180" spans="1:5" x14ac:dyDescent="0.3">
      <c r="A180" t="s">
        <v>1820</v>
      </c>
      <c r="B180" t="s">
        <v>1821</v>
      </c>
      <c r="C180" t="s">
        <v>1822</v>
      </c>
      <c r="D180" s="6" t="str">
        <f>IFERROR(VLOOKUP(A180,base_fiis_inv10!$A$1:$C$282,2,FALSE),"Não encontrado")</f>
        <v>Não encontrado</v>
      </c>
      <c r="E180" s="6" t="str">
        <f>IFERROR(VLOOKUP(A180,base_fiis_inv10!$A$1:$C$282,3,FALSE),"Não encontrado")</f>
        <v>Não encontrado</v>
      </c>
    </row>
    <row r="181" spans="1:5" x14ac:dyDescent="0.3">
      <c r="A181" t="s">
        <v>1823</v>
      </c>
      <c r="B181" t="s">
        <v>1824</v>
      </c>
      <c r="C181" t="s">
        <v>1825</v>
      </c>
      <c r="D181" s="6" t="str">
        <f>IFERROR(VLOOKUP(A181,base_fiis_inv10!$A$1:$C$282,2,FALSE),"Não encontrado")</f>
        <v>Não encontrado</v>
      </c>
      <c r="E181" s="6" t="str">
        <f>IFERROR(VLOOKUP(A181,base_fiis_inv10!$A$1:$C$282,3,FALSE),"Não encontrado")</f>
        <v>Não encontrado</v>
      </c>
    </row>
    <row r="182" spans="1:5" x14ac:dyDescent="0.3">
      <c r="A182" t="s">
        <v>1826</v>
      </c>
      <c r="B182" t="s">
        <v>1827</v>
      </c>
      <c r="C182" t="s">
        <v>1828</v>
      </c>
      <c r="D182" s="6" t="str">
        <f>IFERROR(VLOOKUP(A182,base_fiis_inv10!$A$1:$C$282,2,FALSE),"Não encontrado")</f>
        <v>Fundo de papel</v>
      </c>
      <c r="E182" s="6" t="str">
        <f>IFERROR(VLOOKUP(A182,base_fiis_inv10!$A$1:$C$282,3,FALSE),"Não encontrado")</f>
        <v>Títulos e Valores Mobiliários</v>
      </c>
    </row>
    <row r="183" spans="1:5" x14ac:dyDescent="0.3">
      <c r="A183" t="s">
        <v>1829</v>
      </c>
      <c r="B183" t="s">
        <v>1830</v>
      </c>
      <c r="C183" t="s">
        <v>1831</v>
      </c>
      <c r="D183" s="6" t="str">
        <f>IFERROR(VLOOKUP(A183,base_fiis_inv10!$A$1:$C$282,2,FALSE),"Não encontrado")</f>
        <v>Fundo de papel</v>
      </c>
      <c r="E183" s="6" t="str">
        <f>IFERROR(VLOOKUP(A183,base_fiis_inv10!$A$1:$C$282,3,FALSE),"Não encontrado")</f>
        <v>Híbrido</v>
      </c>
    </row>
    <row r="184" spans="1:5" x14ac:dyDescent="0.3">
      <c r="A184" t="s">
        <v>1832</v>
      </c>
      <c r="B184" t="s">
        <v>1833</v>
      </c>
      <c r="C184" t="s">
        <v>1834</v>
      </c>
      <c r="D184" s="6" t="str">
        <f>IFERROR(VLOOKUP(A184,base_fiis_inv10!$A$1:$C$282,2,FALSE),"Não encontrado")</f>
        <v>Não encontrado</v>
      </c>
      <c r="E184" s="6" t="str">
        <f>IFERROR(VLOOKUP(A184,base_fiis_inv10!$A$1:$C$282,3,FALSE),"Não encontrado")</f>
        <v>Não encontrado</v>
      </c>
    </row>
    <row r="185" spans="1:5" x14ac:dyDescent="0.3">
      <c r="A185" t="s">
        <v>1835</v>
      </c>
      <c r="B185" t="s">
        <v>1836</v>
      </c>
      <c r="C185" t="s">
        <v>1837</v>
      </c>
      <c r="D185" s="6" t="str">
        <f>IFERROR(VLOOKUP(A185,base_fiis_inv10!$A$1:$C$282,2,FALSE),"Não encontrado")</f>
        <v>Não encontrado</v>
      </c>
      <c r="E185" s="6" t="str">
        <f>IFERROR(VLOOKUP(A185,base_fiis_inv10!$A$1:$C$282,3,FALSE),"Não encontrado")</f>
        <v>Não encontrado</v>
      </c>
    </row>
    <row r="186" spans="1:5" x14ac:dyDescent="0.3">
      <c r="A186" t="s">
        <v>1838</v>
      </c>
      <c r="B186" t="s">
        <v>1839</v>
      </c>
      <c r="C186" t="s">
        <v>1840</v>
      </c>
      <c r="D186" s="6" t="str">
        <f>IFERROR(VLOOKUP(A186,base_fiis_inv10!$A$1:$C$282,2,FALSE),"Não encontrado")</f>
        <v>Fundo de fundos</v>
      </c>
      <c r="E186" s="6" t="str">
        <f>IFERROR(VLOOKUP(A186,base_fiis_inv10!$A$1:$C$282,3,FALSE),"Não encontrado")</f>
        <v>Títulos e Valores Mobiliários</v>
      </c>
    </row>
    <row r="187" spans="1:5" x14ac:dyDescent="0.3">
      <c r="A187" t="s">
        <v>1841</v>
      </c>
      <c r="B187" t="s">
        <v>1842</v>
      </c>
      <c r="C187" t="s">
        <v>1843</v>
      </c>
      <c r="D187" s="6" t="str">
        <f>IFERROR(VLOOKUP(A187,base_fiis_inv10!$A$1:$C$282,2,FALSE),"Não encontrado")</f>
        <v>Fundo misto</v>
      </c>
      <c r="E187" s="6" t="str">
        <f>IFERROR(VLOOKUP(A187,base_fiis_inv10!$A$1:$C$282,3,FALSE),"Não encontrado")</f>
        <v>Títulos e Valores Mobiliários</v>
      </c>
    </row>
    <row r="188" spans="1:5" x14ac:dyDescent="0.3">
      <c r="A188" t="s">
        <v>1844</v>
      </c>
      <c r="B188" t="s">
        <v>1845</v>
      </c>
      <c r="C188" t="s">
        <v>1846</v>
      </c>
      <c r="D188" s="6" t="str">
        <f>IFERROR(VLOOKUP(A188,base_fiis_inv10!$A$1:$C$282,2,FALSE),"Não encontrado")</f>
        <v>Não encontrado</v>
      </c>
      <c r="E188" s="6" t="str">
        <f>IFERROR(VLOOKUP(A188,base_fiis_inv10!$A$1:$C$282,3,FALSE),"Não encontrado")</f>
        <v>Não encontrado</v>
      </c>
    </row>
    <row r="189" spans="1:5" x14ac:dyDescent="0.3">
      <c r="A189" t="s">
        <v>1847</v>
      </c>
      <c r="B189" t="s">
        <v>1848</v>
      </c>
      <c r="C189" t="s">
        <v>1849</v>
      </c>
      <c r="D189" s="6" t="str">
        <f>IFERROR(VLOOKUP(A189,base_fiis_inv10!$A$1:$C$282,2,FALSE),"Não encontrado")</f>
        <v>Não encontrado</v>
      </c>
      <c r="E189" s="6" t="str">
        <f>IFERROR(VLOOKUP(A189,base_fiis_inv10!$A$1:$C$282,3,FALSE),"Não encontrado")</f>
        <v>Não encontrado</v>
      </c>
    </row>
    <row r="190" spans="1:5" x14ac:dyDescent="0.3">
      <c r="A190" t="s">
        <v>1850</v>
      </c>
      <c r="B190" t="s">
        <v>1851</v>
      </c>
      <c r="C190" t="s">
        <v>1852</v>
      </c>
      <c r="D190" s="6" t="str">
        <f>IFERROR(VLOOKUP(A190,base_fiis_inv10!$A$1:$C$282,2,FALSE),"Não encontrado")</f>
        <v>Não encontrado</v>
      </c>
      <c r="E190" s="6" t="str">
        <f>IFERROR(VLOOKUP(A190,base_fiis_inv10!$A$1:$C$282,3,FALSE),"Não encontrado")</f>
        <v>Não encontrado</v>
      </c>
    </row>
    <row r="191" spans="1:5" x14ac:dyDescent="0.3">
      <c r="A191" t="s">
        <v>1853</v>
      </c>
      <c r="B191" t="s">
        <v>1854</v>
      </c>
      <c r="C191" t="s">
        <v>1855</v>
      </c>
      <c r="D191" s="6" t="str">
        <f>IFERROR(VLOOKUP(A191,base_fiis_inv10!$A$1:$C$282,2,FALSE),"Não encontrado")</f>
        <v>Fundo de fundos</v>
      </c>
      <c r="E191" s="6" t="str">
        <f>IFERROR(VLOOKUP(A191,base_fiis_inv10!$A$1:$C$282,3,FALSE),"Não encontrado")</f>
        <v>Títulos e Valores Mobiliários</v>
      </c>
    </row>
    <row r="192" spans="1:5" x14ac:dyDescent="0.3">
      <c r="A192" t="s">
        <v>1856</v>
      </c>
      <c r="B192" t="s">
        <v>1857</v>
      </c>
      <c r="C192" t="s">
        <v>1858</v>
      </c>
      <c r="D192" s="6" t="str">
        <f>IFERROR(VLOOKUP(A192,base_fiis_inv10!$A$1:$C$282,2,FALSE),"Não encontrado")</f>
        <v>Não encontrado</v>
      </c>
      <c r="E192" s="6" t="str">
        <f>IFERROR(VLOOKUP(A192,base_fiis_inv10!$A$1:$C$282,3,FALSE),"Não encontrado")</f>
        <v>Não encontrado</v>
      </c>
    </row>
    <row r="193" spans="1:5" x14ac:dyDescent="0.3">
      <c r="A193" t="s">
        <v>1859</v>
      </c>
      <c r="B193" t="s">
        <v>1860</v>
      </c>
      <c r="C193" t="s">
        <v>1861</v>
      </c>
      <c r="D193" s="6" t="str">
        <f>IFERROR(VLOOKUP(A193,base_fiis_inv10!$A$1:$C$282,2,FALSE),"Não encontrado")</f>
        <v>Fundo de papel</v>
      </c>
      <c r="E193" s="6" t="str">
        <f>IFERROR(VLOOKUP(A193,base_fiis_inv10!$A$1:$C$282,3,FALSE),"Não encontrado")</f>
        <v>Híbrido</v>
      </c>
    </row>
    <row r="194" spans="1:5" x14ac:dyDescent="0.3">
      <c r="A194" t="s">
        <v>1862</v>
      </c>
      <c r="B194" t="s">
        <v>1863</v>
      </c>
      <c r="C194" t="s">
        <v>1864</v>
      </c>
      <c r="D194" s="6" t="str">
        <f>IFERROR(VLOOKUP(A194,base_fiis_inv10!$A$1:$C$282,2,FALSE),"Não encontrado")</f>
        <v>Não encontrado</v>
      </c>
      <c r="E194" s="6" t="str">
        <f>IFERROR(VLOOKUP(A194,base_fiis_inv10!$A$1:$C$282,3,FALSE),"Não encontrado")</f>
        <v>Não encontrado</v>
      </c>
    </row>
    <row r="195" spans="1:5" x14ac:dyDescent="0.3">
      <c r="A195" t="s">
        <v>1865</v>
      </c>
      <c r="B195" t="s">
        <v>1866</v>
      </c>
      <c r="C195" t="s">
        <v>1867</v>
      </c>
      <c r="D195" s="6" t="str">
        <f>IFERROR(VLOOKUP(A195,base_fiis_inv10!$A$1:$C$282,2,FALSE),"Não encontrado")</f>
        <v>Fundo de papel</v>
      </c>
      <c r="E195" s="6" t="str">
        <f>IFERROR(VLOOKUP(A195,base_fiis_inv10!$A$1:$C$282,3,FALSE),"Não encontrado")</f>
        <v>Títulos e Valores Mobiliários</v>
      </c>
    </row>
    <row r="196" spans="1:5" x14ac:dyDescent="0.3">
      <c r="A196" t="s">
        <v>1868</v>
      </c>
      <c r="B196" t="s">
        <v>1869</v>
      </c>
      <c r="C196" t="s">
        <v>1870</v>
      </c>
      <c r="D196" s="6" t="str">
        <f>IFERROR(VLOOKUP(A196,base_fiis_inv10!$A$1:$C$282,2,FALSE),"Não encontrado")</f>
        <v>Fundo de papel</v>
      </c>
      <c r="E196" s="6" t="str">
        <f>IFERROR(VLOOKUP(A196,base_fiis_inv10!$A$1:$C$282,3,FALSE),"Não encontrado")</f>
        <v>Títulos e Valores Mobiliários</v>
      </c>
    </row>
    <row r="197" spans="1:5" x14ac:dyDescent="0.3">
      <c r="A197" t="s">
        <v>1871</v>
      </c>
      <c r="B197" t="s">
        <v>1872</v>
      </c>
      <c r="C197" t="s">
        <v>1873</v>
      </c>
      <c r="D197" s="6" t="str">
        <f>IFERROR(VLOOKUP(A197,base_fiis_inv10!$A$1:$C$282,2,FALSE),"Não encontrado")</f>
        <v>Outro</v>
      </c>
      <c r="E197" s="6" t="str">
        <f>IFERROR(VLOOKUP(A197,base_fiis_inv10!$A$1:$C$282,3,FALSE),"Não encontrado")</f>
        <v>Híbrido</v>
      </c>
    </row>
    <row r="198" spans="1:5" x14ac:dyDescent="0.3">
      <c r="A198" t="s">
        <v>1874</v>
      </c>
      <c r="B198" t="s">
        <v>1875</v>
      </c>
      <c r="C198" t="s">
        <v>1876</v>
      </c>
      <c r="D198" s="6" t="str">
        <f>IFERROR(VLOOKUP(A198,base_fiis_inv10!$A$1:$C$282,2,FALSE),"Não encontrado")</f>
        <v>Fundo de papel</v>
      </c>
      <c r="E198" s="6" t="str">
        <f>IFERROR(VLOOKUP(A198,base_fiis_inv10!$A$1:$C$282,3,FALSE),"Não encontrado")</f>
        <v>Títulos e Valores Mobiliários</v>
      </c>
    </row>
    <row r="199" spans="1:5" x14ac:dyDescent="0.3">
      <c r="A199" t="s">
        <v>1877</v>
      </c>
      <c r="B199" t="s">
        <v>1878</v>
      </c>
      <c r="C199" t="s">
        <v>1879</v>
      </c>
      <c r="D199" s="6" t="str">
        <f>IFERROR(VLOOKUP(A199,base_fiis_inv10!$A$1:$C$282,2,FALSE),"Não encontrado")</f>
        <v>Não encontrado</v>
      </c>
      <c r="E199" s="6" t="str">
        <f>IFERROR(VLOOKUP(A199,base_fiis_inv10!$A$1:$C$282,3,FALSE),"Não encontrado")</f>
        <v>Não encontrado</v>
      </c>
    </row>
    <row r="200" spans="1:5" x14ac:dyDescent="0.3">
      <c r="A200" t="s">
        <v>1880</v>
      </c>
      <c r="B200" t="s">
        <v>1881</v>
      </c>
      <c r="C200" t="s">
        <v>1882</v>
      </c>
      <c r="D200" s="6" t="str">
        <f>IFERROR(VLOOKUP(A200,base_fiis_inv10!$A$1:$C$282,2,FALSE),"Não encontrado")</f>
        <v>Fundo de fundos</v>
      </c>
      <c r="E200" s="6" t="str">
        <f>IFERROR(VLOOKUP(A200,base_fiis_inv10!$A$1:$C$282,3,FALSE),"Não encontrado")</f>
        <v>Títulos e Valores Mobiliários</v>
      </c>
    </row>
    <row r="201" spans="1:5" x14ac:dyDescent="0.3">
      <c r="A201" t="s">
        <v>1883</v>
      </c>
      <c r="B201" t="s">
        <v>1884</v>
      </c>
      <c r="C201" t="s">
        <v>1885</v>
      </c>
      <c r="D201" s="6" t="str">
        <f>IFERROR(VLOOKUP(A201,base_fiis_inv10!$A$1:$C$282,2,FALSE),"Não encontrado")</f>
        <v>Fundo de fundos</v>
      </c>
      <c r="E201" s="6" t="str">
        <f>IFERROR(VLOOKUP(A201,base_fiis_inv10!$A$1:$C$282,3,FALSE),"Não encontrado")</f>
        <v>Títulos e Valores Mobiliários</v>
      </c>
    </row>
    <row r="202" spans="1:5" x14ac:dyDescent="0.3">
      <c r="A202" t="s">
        <v>1886</v>
      </c>
      <c r="B202" t="s">
        <v>1887</v>
      </c>
      <c r="C202" t="s">
        <v>1888</v>
      </c>
      <c r="D202" s="6" t="str">
        <f>IFERROR(VLOOKUP(A202,base_fiis_inv10!$A$1:$C$282,2,FALSE),"Não encontrado")</f>
        <v>Fundo de papel</v>
      </c>
      <c r="E202" s="6" t="str">
        <f>IFERROR(VLOOKUP(A202,base_fiis_inv10!$A$1:$C$282,3,FALSE),"Não encontrado")</f>
        <v>Títulos e Valores Mobiliários</v>
      </c>
    </row>
    <row r="203" spans="1:5" x14ac:dyDescent="0.3">
      <c r="A203" t="s">
        <v>1889</v>
      </c>
      <c r="B203" t="s">
        <v>1890</v>
      </c>
      <c r="C203" t="s">
        <v>1891</v>
      </c>
      <c r="D203" s="6" t="str">
        <f>IFERROR(VLOOKUP(A203,base_fiis_inv10!$A$1:$C$282,2,FALSE),"Não encontrado")</f>
        <v>Fundo de papel</v>
      </c>
      <c r="E203" s="6" t="str">
        <f>IFERROR(VLOOKUP(A203,base_fiis_inv10!$A$1:$C$282,3,FALSE),"Não encontrado")</f>
        <v>Títulos e Valores Mobiliários</v>
      </c>
    </row>
    <row r="204" spans="1:5" x14ac:dyDescent="0.3">
      <c r="A204" t="s">
        <v>1892</v>
      </c>
      <c r="B204" t="s">
        <v>1893</v>
      </c>
      <c r="C204" t="s">
        <v>1894</v>
      </c>
      <c r="D204" s="6" t="str">
        <f>IFERROR(VLOOKUP(A204,base_fiis_inv10!$A$1:$C$282,2,FALSE),"Não encontrado")</f>
        <v>Fundo misto</v>
      </c>
      <c r="E204" s="6" t="str">
        <f>IFERROR(VLOOKUP(A204,base_fiis_inv10!$A$1:$C$282,3,FALSE),"Não encontrado")</f>
        <v>Híbrido</v>
      </c>
    </row>
    <row r="205" spans="1:5" x14ac:dyDescent="0.3">
      <c r="A205" t="s">
        <v>1895</v>
      </c>
      <c r="B205" t="s">
        <v>1896</v>
      </c>
      <c r="C205" t="s">
        <v>1897</v>
      </c>
      <c r="D205" s="6" t="str">
        <f>IFERROR(VLOOKUP(A205,base_fiis_inv10!$A$1:$C$282,2,FALSE),"Não encontrado")</f>
        <v>Fundo de papel</v>
      </c>
      <c r="E205" s="6" t="str">
        <f>IFERROR(VLOOKUP(A205,base_fiis_inv10!$A$1:$C$282,3,FALSE),"Não encontrado")</f>
        <v>Títulos e Valores Mobiliários</v>
      </c>
    </row>
    <row r="206" spans="1:5" x14ac:dyDescent="0.3">
      <c r="A206" t="s">
        <v>1898</v>
      </c>
      <c r="B206" t="s">
        <v>1896</v>
      </c>
      <c r="C206" t="s">
        <v>1897</v>
      </c>
      <c r="D206" s="6" t="str">
        <f>IFERROR(VLOOKUP(A206,base_fiis_inv10!$A$1:$C$282,2,FALSE),"Não encontrado")</f>
        <v>Não encontrado</v>
      </c>
      <c r="E206" s="6" t="str">
        <f>IFERROR(VLOOKUP(A206,base_fiis_inv10!$A$1:$C$282,3,FALSE),"Não encontrado")</f>
        <v>Não encontrado</v>
      </c>
    </row>
    <row r="207" spans="1:5" x14ac:dyDescent="0.3">
      <c r="A207" t="s">
        <v>1899</v>
      </c>
      <c r="B207" t="s">
        <v>1900</v>
      </c>
      <c r="C207" t="s">
        <v>1901</v>
      </c>
      <c r="D207" s="6" t="str">
        <f>IFERROR(VLOOKUP(A207,base_fiis_inv10!$A$1:$C$282,2,FALSE),"Não encontrado")</f>
        <v>Fundo de papel</v>
      </c>
      <c r="E207" s="6" t="str">
        <f>IFERROR(VLOOKUP(A207,base_fiis_inv10!$A$1:$C$282,3,FALSE),"Não encontrado")</f>
        <v>Títulos e Valores Mobiliários</v>
      </c>
    </row>
    <row r="208" spans="1:5" x14ac:dyDescent="0.3">
      <c r="A208" t="s">
        <v>1902</v>
      </c>
      <c r="B208" t="s">
        <v>1903</v>
      </c>
      <c r="C208" t="s">
        <v>1904</v>
      </c>
      <c r="D208" s="6" t="str">
        <f>IFERROR(VLOOKUP(A208,base_fiis_inv10!$A$1:$C$282,2,FALSE),"Não encontrado")</f>
        <v>Não encontrado</v>
      </c>
      <c r="E208" s="6" t="str">
        <f>IFERROR(VLOOKUP(A208,base_fiis_inv10!$A$1:$C$282,3,FALSE),"Não encontrado")</f>
        <v>Não encontrado</v>
      </c>
    </row>
    <row r="209" spans="1:5" x14ac:dyDescent="0.3">
      <c r="A209" t="s">
        <v>1905</v>
      </c>
      <c r="B209" t="s">
        <v>1906</v>
      </c>
      <c r="C209" t="s">
        <v>1907</v>
      </c>
      <c r="D209" s="6" t="str">
        <f>IFERROR(VLOOKUP(A209,base_fiis_inv10!$A$1:$C$282,2,FALSE),"Não encontrado")</f>
        <v>Fundo de Tijolo</v>
      </c>
      <c r="E209" s="6" t="str">
        <f>IFERROR(VLOOKUP(A209,base_fiis_inv10!$A$1:$C$282,3,FALSE),"Não encontrado")</f>
        <v>Híbrido</v>
      </c>
    </row>
    <row r="210" spans="1:5" x14ac:dyDescent="0.3">
      <c r="A210" t="s">
        <v>1908</v>
      </c>
      <c r="B210" t="s">
        <v>1909</v>
      </c>
      <c r="C210" t="s">
        <v>1910</v>
      </c>
      <c r="D210" s="6" t="str">
        <f>IFERROR(VLOOKUP(A210,base_fiis_inv10!$A$1:$C$282,2,FALSE),"Não encontrado")</f>
        <v>Fundo de papel</v>
      </c>
      <c r="E210" s="6" t="str">
        <f>IFERROR(VLOOKUP(A210,base_fiis_inv10!$A$1:$C$282,3,FALSE),"Não encontrado")</f>
        <v>Títulos e Valores Mobiliários</v>
      </c>
    </row>
    <row r="211" spans="1:5" x14ac:dyDescent="0.3">
      <c r="A211" t="s">
        <v>1911</v>
      </c>
      <c r="B211" t="s">
        <v>1912</v>
      </c>
      <c r="C211" t="s">
        <v>1913</v>
      </c>
      <c r="D211" s="6" t="str">
        <f>IFERROR(VLOOKUP(A211,base_fiis_inv10!$A$1:$C$282,2,FALSE),"Não encontrado")</f>
        <v>Fundo de papel</v>
      </c>
      <c r="E211" s="6" t="str">
        <f>IFERROR(VLOOKUP(A211,base_fiis_inv10!$A$1:$C$282,3,FALSE),"Não encontrado")</f>
        <v>Títulos e Valores Mobiliários</v>
      </c>
    </row>
    <row r="212" spans="1:5" x14ac:dyDescent="0.3">
      <c r="A212" t="s">
        <v>1914</v>
      </c>
      <c r="B212" t="s">
        <v>1915</v>
      </c>
      <c r="C212" t="s">
        <v>1916</v>
      </c>
      <c r="D212" s="6" t="str">
        <f>IFERROR(VLOOKUP(A212,base_fiis_inv10!$A$1:$C$282,2,FALSE),"Não encontrado")</f>
        <v>Fundo de Tijolo</v>
      </c>
      <c r="E212" s="6" t="str">
        <f>IFERROR(VLOOKUP(A212,base_fiis_inv10!$A$1:$C$282,3,FALSE),"Não encontrado")</f>
        <v>Lajes Corporativas</v>
      </c>
    </row>
    <row r="213" spans="1:5" x14ac:dyDescent="0.3">
      <c r="A213" t="s">
        <v>1917</v>
      </c>
      <c r="B213" t="s">
        <v>1918</v>
      </c>
      <c r="C213" t="s">
        <v>1919</v>
      </c>
      <c r="D213" s="6" t="str">
        <f>IFERROR(VLOOKUP(A213,base_fiis_inv10!$A$1:$C$282,2,FALSE),"Não encontrado")</f>
        <v>Fundo de Tijolo</v>
      </c>
      <c r="E213" s="6" t="str">
        <f>IFERROR(VLOOKUP(A213,base_fiis_inv10!$A$1:$C$282,3,FALSE),"Não encontrado")</f>
        <v>Shoppings / Varejo</v>
      </c>
    </row>
    <row r="214" spans="1:5" x14ac:dyDescent="0.3">
      <c r="A214" t="s">
        <v>1920</v>
      </c>
      <c r="B214" t="s">
        <v>1921</v>
      </c>
      <c r="C214" t="s">
        <v>1922</v>
      </c>
      <c r="D214" s="6" t="str">
        <f>IFERROR(VLOOKUP(A214,base_fiis_inv10!$A$1:$C$282,2,FALSE),"Não encontrado")</f>
        <v>Não encontrado</v>
      </c>
      <c r="E214" s="6" t="str">
        <f>IFERROR(VLOOKUP(A214,base_fiis_inv10!$A$1:$C$282,3,FALSE),"Não encontrado")</f>
        <v>Não encontrado</v>
      </c>
    </row>
    <row r="215" spans="1:5" x14ac:dyDescent="0.3">
      <c r="A215" t="s">
        <v>1923</v>
      </c>
      <c r="B215" t="s">
        <v>1924</v>
      </c>
      <c r="C215" t="s">
        <v>1925</v>
      </c>
      <c r="D215" s="6" t="str">
        <f>IFERROR(VLOOKUP(A215,base_fiis_inv10!$A$1:$C$282,2,FALSE),"Não encontrado")</f>
        <v>Não encontrado</v>
      </c>
      <c r="E215" s="6" t="str">
        <f>IFERROR(VLOOKUP(A215,base_fiis_inv10!$A$1:$C$282,3,FALSE),"Não encontrado")</f>
        <v>Não encontrado</v>
      </c>
    </row>
    <row r="216" spans="1:5" x14ac:dyDescent="0.3">
      <c r="A216" t="s">
        <v>1926</v>
      </c>
      <c r="B216" t="s">
        <v>1927</v>
      </c>
      <c r="C216" t="s">
        <v>1928</v>
      </c>
      <c r="D216" s="6" t="str">
        <f>IFERROR(VLOOKUP(A216,base_fiis_inv10!$A$1:$C$282,2,FALSE),"Não encontrado")</f>
        <v>Outro</v>
      </c>
      <c r="E216" s="6" t="str">
        <f>IFERROR(VLOOKUP(A216,base_fiis_inv10!$A$1:$C$282,3,FALSE),"Não encontrado")</f>
        <v>Outros</v>
      </c>
    </row>
    <row r="217" spans="1:5" x14ac:dyDescent="0.3">
      <c r="A217" t="s">
        <v>1929</v>
      </c>
      <c r="B217" t="s">
        <v>1930</v>
      </c>
      <c r="C217" t="s">
        <v>1931</v>
      </c>
      <c r="D217" s="6" t="str">
        <f>IFERROR(VLOOKUP(A217,base_fiis_inv10!$A$1:$C$282,2,FALSE),"Não encontrado")</f>
        <v>Fundo de papel</v>
      </c>
      <c r="E217" s="6" t="str">
        <f>IFERROR(VLOOKUP(A217,base_fiis_inv10!$A$1:$C$282,3,FALSE),"Não encontrado")</f>
        <v>Híbrido</v>
      </c>
    </row>
    <row r="218" spans="1:5" x14ac:dyDescent="0.3">
      <c r="A218" t="s">
        <v>1932</v>
      </c>
      <c r="B218" t="s">
        <v>1933</v>
      </c>
      <c r="C218" t="s">
        <v>1934</v>
      </c>
      <c r="D218" s="6" t="str">
        <f>IFERROR(VLOOKUP(A218,base_fiis_inv10!$A$1:$C$282,2,FALSE),"Não encontrado")</f>
        <v>Não encontrado</v>
      </c>
      <c r="E218" s="6" t="str">
        <f>IFERROR(VLOOKUP(A218,base_fiis_inv10!$A$1:$C$282,3,FALSE),"Não encontrado")</f>
        <v>Não encontrado</v>
      </c>
    </row>
    <row r="219" spans="1:5" x14ac:dyDescent="0.3">
      <c r="A219" t="s">
        <v>1935</v>
      </c>
      <c r="B219" t="s">
        <v>1936</v>
      </c>
      <c r="C219" t="s">
        <v>1937</v>
      </c>
      <c r="D219" s="6" t="str">
        <f>IFERROR(VLOOKUP(A219,base_fiis_inv10!$A$1:$C$282,2,FALSE),"Não encontrado")</f>
        <v>Outro</v>
      </c>
      <c r="E219" s="6" t="str">
        <f>IFERROR(VLOOKUP(A219,base_fiis_inv10!$A$1:$C$282,3,FALSE),"Não encontrado")</f>
        <v>Outros</v>
      </c>
    </row>
    <row r="220" spans="1:5" x14ac:dyDescent="0.3">
      <c r="A220" t="s">
        <v>1938</v>
      </c>
      <c r="B220" t="s">
        <v>1939</v>
      </c>
      <c r="C220" t="s">
        <v>1940</v>
      </c>
      <c r="D220" s="6" t="str">
        <f>IFERROR(VLOOKUP(A220,base_fiis_inv10!$A$1:$C$282,2,FALSE),"Não encontrado")</f>
        <v>Não encontrado</v>
      </c>
      <c r="E220" s="6" t="str">
        <f>IFERROR(VLOOKUP(A220,base_fiis_inv10!$A$1:$C$282,3,FALSE),"Não encontrado")</f>
        <v>Não encontrado</v>
      </c>
    </row>
    <row r="221" spans="1:5" x14ac:dyDescent="0.3">
      <c r="A221" t="s">
        <v>1941</v>
      </c>
      <c r="B221" t="s">
        <v>1942</v>
      </c>
      <c r="C221" t="s">
        <v>1943</v>
      </c>
      <c r="D221" s="6" t="str">
        <f>IFERROR(VLOOKUP(A221,base_fiis_inv10!$A$1:$C$282,2,FALSE),"Não encontrado")</f>
        <v>Não encontrado</v>
      </c>
      <c r="E221" s="6" t="str">
        <f>IFERROR(VLOOKUP(A221,base_fiis_inv10!$A$1:$C$282,3,FALSE),"Não encontrado")</f>
        <v>Não encontrado</v>
      </c>
    </row>
    <row r="222" spans="1:5" x14ac:dyDescent="0.3">
      <c r="A222" t="s">
        <v>1944</v>
      </c>
      <c r="B222" t="s">
        <v>1945</v>
      </c>
      <c r="C222" t="s">
        <v>1946</v>
      </c>
      <c r="D222" s="6" t="str">
        <f>IFERROR(VLOOKUP(A222,base_fiis_inv10!$A$1:$C$282,2,FALSE),"Não encontrado")</f>
        <v>Fundo de Tijolo</v>
      </c>
      <c r="E222" s="6" t="str">
        <f>IFERROR(VLOOKUP(A222,base_fiis_inv10!$A$1:$C$282,3,FALSE),"Não encontrado")</f>
        <v>Logístico / Indústria / Galpões</v>
      </c>
    </row>
    <row r="223" spans="1:5" x14ac:dyDescent="0.3">
      <c r="A223" t="s">
        <v>1947</v>
      </c>
      <c r="B223" t="s">
        <v>1948</v>
      </c>
      <c r="C223" t="s">
        <v>1949</v>
      </c>
      <c r="D223" s="6" t="str">
        <f>IFERROR(VLOOKUP(A223,base_fiis_inv10!$A$1:$C$282,2,FALSE),"Não encontrado")</f>
        <v>Não encontrado</v>
      </c>
      <c r="E223" s="6" t="str">
        <f>IFERROR(VLOOKUP(A223,base_fiis_inv10!$A$1:$C$282,3,FALSE),"Não encontrado")</f>
        <v>Não encontrado</v>
      </c>
    </row>
    <row r="224" spans="1:5" x14ac:dyDescent="0.3">
      <c r="A224" t="s">
        <v>1950</v>
      </c>
      <c r="B224" t="s">
        <v>1951</v>
      </c>
      <c r="C224" t="s">
        <v>1952</v>
      </c>
      <c r="D224" s="6" t="str">
        <f>IFERROR(VLOOKUP(A224,base_fiis_inv10!$A$1:$C$282,2,FALSE),"Não encontrado")</f>
        <v>Outro</v>
      </c>
      <c r="E224" s="6" t="str">
        <f>IFERROR(VLOOKUP(A224,base_fiis_inv10!$A$1:$C$282,3,FALSE),"Não encontrado")</f>
        <v>Títulos e Valores Mobiliários</v>
      </c>
    </row>
    <row r="225" spans="1:5" x14ac:dyDescent="0.3">
      <c r="A225" t="s">
        <v>1953</v>
      </c>
      <c r="B225" t="s">
        <v>1954</v>
      </c>
      <c r="C225" t="s">
        <v>1955</v>
      </c>
      <c r="D225" s="6" t="str">
        <f>IFERROR(VLOOKUP(A225,base_fiis_inv10!$A$1:$C$282,2,FALSE),"Não encontrado")</f>
        <v>Não encontrado</v>
      </c>
      <c r="E225" s="6" t="str">
        <f>IFERROR(VLOOKUP(A225,base_fiis_inv10!$A$1:$C$282,3,FALSE),"Não encontrado")</f>
        <v>Não encontrado</v>
      </c>
    </row>
    <row r="226" spans="1:5" x14ac:dyDescent="0.3">
      <c r="A226" t="s">
        <v>1956</v>
      </c>
      <c r="B226" t="s">
        <v>1957</v>
      </c>
      <c r="C226" t="s">
        <v>1958</v>
      </c>
      <c r="D226" s="6" t="str">
        <f>IFERROR(VLOOKUP(A226,base_fiis_inv10!$A$1:$C$282,2,FALSE),"Não encontrado")</f>
        <v>Fundo de papel</v>
      </c>
      <c r="E226" s="6" t="str">
        <f>IFERROR(VLOOKUP(A226,base_fiis_inv10!$A$1:$C$282,3,FALSE),"Não encontrado")</f>
        <v>Títulos e Valores Mobiliários</v>
      </c>
    </row>
    <row r="227" spans="1:5" x14ac:dyDescent="0.3">
      <c r="A227" t="s">
        <v>1959</v>
      </c>
      <c r="B227" t="s">
        <v>1960</v>
      </c>
      <c r="C227" t="s">
        <v>1961</v>
      </c>
      <c r="D227" s="6" t="str">
        <f>IFERROR(VLOOKUP(A227,base_fiis_inv10!$A$1:$C$282,2,FALSE),"Não encontrado")</f>
        <v>Não encontrado</v>
      </c>
      <c r="E227" s="6" t="str">
        <f>IFERROR(VLOOKUP(A227,base_fiis_inv10!$A$1:$C$282,3,FALSE),"Não encontrado")</f>
        <v>Não encontrado</v>
      </c>
    </row>
    <row r="228" spans="1:5" x14ac:dyDescent="0.3">
      <c r="A228" t="s">
        <v>1962</v>
      </c>
      <c r="B228" t="s">
        <v>1963</v>
      </c>
      <c r="C228" t="s">
        <v>1964</v>
      </c>
      <c r="D228" s="6" t="str">
        <f>IFERROR(VLOOKUP(A228,base_fiis_inv10!$A$1:$C$282,2,FALSE),"Não encontrado")</f>
        <v>Não encontrado</v>
      </c>
      <c r="E228" s="6" t="str">
        <f>IFERROR(VLOOKUP(A228,base_fiis_inv10!$A$1:$C$282,3,FALSE),"Não encontrado")</f>
        <v>Não encontrado</v>
      </c>
    </row>
    <row r="229" spans="1:5" x14ac:dyDescent="0.3">
      <c r="A229" t="s">
        <v>1965</v>
      </c>
      <c r="B229" t="s">
        <v>1966</v>
      </c>
      <c r="C229" t="s">
        <v>1967</v>
      </c>
      <c r="D229" s="6" t="str">
        <f>IFERROR(VLOOKUP(A229,base_fiis_inv10!$A$1:$C$282,2,FALSE),"Não encontrado")</f>
        <v>Fundo de papel</v>
      </c>
      <c r="E229" s="6" t="str">
        <f>IFERROR(VLOOKUP(A229,base_fiis_inv10!$A$1:$C$282,3,FALSE),"Não encontrado")</f>
        <v>Títulos e Valores Mobiliários</v>
      </c>
    </row>
    <row r="230" spans="1:5" x14ac:dyDescent="0.3">
      <c r="A230" t="s">
        <v>1968</v>
      </c>
      <c r="B230" t="s">
        <v>1969</v>
      </c>
      <c r="C230" t="s">
        <v>1970</v>
      </c>
      <c r="D230" s="6" t="str">
        <f>IFERROR(VLOOKUP(A230,base_fiis_inv10!$A$1:$C$282,2,FALSE),"Não encontrado")</f>
        <v>Não encontrado</v>
      </c>
      <c r="E230" s="6" t="str">
        <f>IFERROR(VLOOKUP(A230,base_fiis_inv10!$A$1:$C$282,3,FALSE),"Não encontrado")</f>
        <v>Não encontrado</v>
      </c>
    </row>
    <row r="231" spans="1:5" x14ac:dyDescent="0.3">
      <c r="A231" t="s">
        <v>1971</v>
      </c>
      <c r="B231" t="s">
        <v>1972</v>
      </c>
      <c r="C231" t="s">
        <v>1973</v>
      </c>
      <c r="D231" s="6" t="str">
        <f>IFERROR(VLOOKUP(A231,base_fiis_inv10!$A$1:$C$282,2,FALSE),"Não encontrado")</f>
        <v>Não encontrado</v>
      </c>
      <c r="E231" s="6" t="str">
        <f>IFERROR(VLOOKUP(A231,base_fiis_inv10!$A$1:$C$282,3,FALSE),"Não encontrado")</f>
        <v>Não encontrado</v>
      </c>
    </row>
    <row r="232" spans="1:5" x14ac:dyDescent="0.3">
      <c r="A232" t="s">
        <v>1974</v>
      </c>
      <c r="B232" t="s">
        <v>1975</v>
      </c>
      <c r="C232" t="s">
        <v>1976</v>
      </c>
      <c r="D232" s="6" t="str">
        <f>IFERROR(VLOOKUP(A232,base_fiis_inv10!$A$1:$C$282,2,FALSE),"Não encontrado")</f>
        <v>Fundo de desenvolvimento</v>
      </c>
      <c r="E232" s="6" t="str">
        <f>IFERROR(VLOOKUP(A232,base_fiis_inv10!$A$1:$C$282,3,FALSE),"Não encontrado")</f>
        <v>Híbrido</v>
      </c>
    </row>
    <row r="233" spans="1:5" x14ac:dyDescent="0.3">
      <c r="A233" t="s">
        <v>1977</v>
      </c>
      <c r="B233" t="s">
        <v>1978</v>
      </c>
      <c r="C233" t="s">
        <v>1979</v>
      </c>
      <c r="D233" s="6" t="str">
        <f>IFERROR(VLOOKUP(A233,base_fiis_inv10!$A$1:$C$282,2,FALSE),"Não encontrado")</f>
        <v>Não encontrado</v>
      </c>
      <c r="E233" s="6" t="str">
        <f>IFERROR(VLOOKUP(A233,base_fiis_inv10!$A$1:$C$282,3,FALSE),"Não encontrado")</f>
        <v>Não encontrado</v>
      </c>
    </row>
    <row r="234" spans="1:5" x14ac:dyDescent="0.3">
      <c r="A234" t="s">
        <v>1980</v>
      </c>
      <c r="B234" t="s">
        <v>1981</v>
      </c>
      <c r="C234" t="s">
        <v>1982</v>
      </c>
      <c r="D234" s="6" t="str">
        <f>IFERROR(VLOOKUP(A234,base_fiis_inv10!$A$1:$C$282,2,FALSE),"Não encontrado")</f>
        <v>Não encontrado</v>
      </c>
      <c r="E234" s="6" t="str">
        <f>IFERROR(VLOOKUP(A234,base_fiis_inv10!$A$1:$C$282,3,FALSE),"Não encontrado")</f>
        <v>Não encontrado</v>
      </c>
    </row>
    <row r="235" spans="1:5" x14ac:dyDescent="0.3">
      <c r="A235" t="s">
        <v>1983</v>
      </c>
      <c r="B235" t="s">
        <v>1984</v>
      </c>
      <c r="C235" t="s">
        <v>1985</v>
      </c>
      <c r="D235" s="6" t="str">
        <f>IFERROR(VLOOKUP(A235,base_fiis_inv10!$A$1:$C$282,2,FALSE),"Não encontrado")</f>
        <v>Não encontrado</v>
      </c>
      <c r="E235" s="6" t="str">
        <f>IFERROR(VLOOKUP(A235,base_fiis_inv10!$A$1:$C$282,3,FALSE),"Não encontrado")</f>
        <v>Não encontrado</v>
      </c>
    </row>
    <row r="236" spans="1:5" x14ac:dyDescent="0.3">
      <c r="A236" t="s">
        <v>1986</v>
      </c>
      <c r="B236" t="s">
        <v>1987</v>
      </c>
      <c r="C236" t="s">
        <v>1988</v>
      </c>
      <c r="D236" s="6" t="str">
        <f>IFERROR(VLOOKUP(A236,base_fiis_inv10!$A$1:$C$282,2,FALSE),"Não encontrado")</f>
        <v>Não encontrado</v>
      </c>
      <c r="E236" s="6" t="str">
        <f>IFERROR(VLOOKUP(A236,base_fiis_inv10!$A$1:$C$282,3,FALSE),"Não encontrado")</f>
        <v>Não encontrado</v>
      </c>
    </row>
    <row r="237" spans="1:5" x14ac:dyDescent="0.3">
      <c r="A237" t="s">
        <v>1989</v>
      </c>
      <c r="B237" t="s">
        <v>1990</v>
      </c>
      <c r="C237" t="s">
        <v>1991</v>
      </c>
      <c r="D237" s="6" t="str">
        <f>IFERROR(VLOOKUP(A237,base_fiis_inv10!$A$1:$C$282,2,FALSE),"Não encontrado")</f>
        <v>Não encontrado</v>
      </c>
      <c r="E237" s="6" t="str">
        <f>IFERROR(VLOOKUP(A237,base_fiis_inv10!$A$1:$C$282,3,FALSE),"Não encontrado")</f>
        <v>Não encontrado</v>
      </c>
    </row>
    <row r="238" spans="1:5" x14ac:dyDescent="0.3">
      <c r="A238" t="s">
        <v>1992</v>
      </c>
      <c r="B238" t="s">
        <v>1993</v>
      </c>
      <c r="C238" t="s">
        <v>1994</v>
      </c>
      <c r="D238" s="6" t="str">
        <f>IFERROR(VLOOKUP(A238,base_fiis_inv10!$A$1:$C$282,2,FALSE),"Não encontrado")</f>
        <v>Não encontrado</v>
      </c>
      <c r="E238" s="6" t="str">
        <f>IFERROR(VLOOKUP(A238,base_fiis_inv10!$A$1:$C$282,3,FALSE),"Não encontrado")</f>
        <v>Não encontrado</v>
      </c>
    </row>
    <row r="239" spans="1:5" x14ac:dyDescent="0.3">
      <c r="A239" t="s">
        <v>1995</v>
      </c>
      <c r="B239" t="s">
        <v>1996</v>
      </c>
      <c r="C239" t="s">
        <v>1997</v>
      </c>
      <c r="D239" s="6" t="str">
        <f>IFERROR(VLOOKUP(A239,base_fiis_inv10!$A$1:$C$282,2,FALSE),"Não encontrado")</f>
        <v>Fundo de papel</v>
      </c>
      <c r="E239" s="6" t="str">
        <f>IFERROR(VLOOKUP(A239,base_fiis_inv10!$A$1:$C$282,3,FALSE),"Não encontrado")</f>
        <v>Híbrido</v>
      </c>
    </row>
    <row r="240" spans="1:5" x14ac:dyDescent="0.3">
      <c r="A240" t="s">
        <v>1998</v>
      </c>
      <c r="B240" t="s">
        <v>1999</v>
      </c>
      <c r="C240" t="s">
        <v>2000</v>
      </c>
      <c r="D240" s="6" t="str">
        <f>IFERROR(VLOOKUP(A240,base_fiis_inv10!$A$1:$C$282,2,FALSE),"Não encontrado")</f>
        <v>Não encontrado</v>
      </c>
      <c r="E240" s="6" t="str">
        <f>IFERROR(VLOOKUP(A240,base_fiis_inv10!$A$1:$C$282,3,FALSE),"Não encontrado")</f>
        <v>Não encontrado</v>
      </c>
    </row>
    <row r="241" spans="1:5" x14ac:dyDescent="0.3">
      <c r="A241" t="s">
        <v>2001</v>
      </c>
      <c r="B241" t="s">
        <v>2002</v>
      </c>
      <c r="C241" t="s">
        <v>2003</v>
      </c>
      <c r="D241" s="6" t="str">
        <f>IFERROR(VLOOKUP(A241,base_fiis_inv10!$A$1:$C$282,2,FALSE),"Não encontrado")</f>
        <v>Fundo de papel</v>
      </c>
      <c r="E241" s="6" t="str">
        <f>IFERROR(VLOOKUP(A241,base_fiis_inv10!$A$1:$C$282,3,FALSE),"Não encontrado")</f>
        <v>Títulos e Valores Mobiliários</v>
      </c>
    </row>
    <row r="242" spans="1:5" x14ac:dyDescent="0.3">
      <c r="A242" t="s">
        <v>2004</v>
      </c>
      <c r="B242" t="s">
        <v>2005</v>
      </c>
      <c r="C242" t="s">
        <v>2006</v>
      </c>
      <c r="D242" s="6" t="str">
        <f>IFERROR(VLOOKUP(A242,base_fiis_inv10!$A$1:$C$282,2,FALSE),"Não encontrado")</f>
        <v>Não encontrado</v>
      </c>
      <c r="E242" s="6" t="str">
        <f>IFERROR(VLOOKUP(A242,base_fiis_inv10!$A$1:$C$282,3,FALSE),"Não encontrado")</f>
        <v>Não encontrado</v>
      </c>
    </row>
    <row r="243" spans="1:5" x14ac:dyDescent="0.3">
      <c r="A243" t="s">
        <v>2007</v>
      </c>
      <c r="B243" t="s">
        <v>2008</v>
      </c>
      <c r="C243" t="s">
        <v>2009</v>
      </c>
      <c r="D243" s="6" t="str">
        <f>IFERROR(VLOOKUP(A243,base_fiis_inv10!$A$1:$C$282,2,FALSE),"Não encontrado")</f>
        <v>Fundo de Tijolo</v>
      </c>
      <c r="E243" s="6" t="str">
        <f>IFERROR(VLOOKUP(A243,base_fiis_inv10!$A$1:$C$282,3,FALSE),"Não encontrado")</f>
        <v>Híbrido</v>
      </c>
    </row>
    <row r="244" spans="1:5" x14ac:dyDescent="0.3">
      <c r="A244" t="s">
        <v>2010</v>
      </c>
      <c r="B244" t="s">
        <v>2011</v>
      </c>
      <c r="C244" t="s">
        <v>2012</v>
      </c>
      <c r="D244" s="6" t="str">
        <f>IFERROR(VLOOKUP(A244,base_fiis_inv10!$A$1:$C$282,2,FALSE),"Não encontrado")</f>
        <v>Fundo de Tijolo</v>
      </c>
      <c r="E244" s="6" t="str">
        <f>IFERROR(VLOOKUP(A244,base_fiis_inv10!$A$1:$C$282,3,FALSE),"Não encontrado")</f>
        <v>Lajes Corporativas</v>
      </c>
    </row>
    <row r="245" spans="1:5" x14ac:dyDescent="0.3">
      <c r="A245" t="s">
        <v>2013</v>
      </c>
      <c r="B245" t="s">
        <v>2014</v>
      </c>
      <c r="C245" t="s">
        <v>2015</v>
      </c>
      <c r="D245" s="6" t="str">
        <f>IFERROR(VLOOKUP(A245,base_fiis_inv10!$A$1:$C$282,2,FALSE),"Não encontrado")</f>
        <v>Fundo de Tijolo</v>
      </c>
      <c r="E245" s="6" t="str">
        <f>IFERROR(VLOOKUP(A245,base_fiis_inv10!$A$1:$C$282,3,FALSE),"Não encontrado")</f>
        <v>Hospitalar</v>
      </c>
    </row>
    <row r="246" spans="1:5" x14ac:dyDescent="0.3">
      <c r="A246" t="s">
        <v>2016</v>
      </c>
      <c r="B246" t="s">
        <v>2017</v>
      </c>
      <c r="C246" t="s">
        <v>2018</v>
      </c>
      <c r="D246" s="6" t="str">
        <f>IFERROR(VLOOKUP(A246,base_fiis_inv10!$A$1:$C$282,2,FALSE),"Não encontrado")</f>
        <v>Não encontrado</v>
      </c>
      <c r="E246" s="6" t="str">
        <f>IFERROR(VLOOKUP(A246,base_fiis_inv10!$A$1:$C$282,3,FALSE),"Não encontrado")</f>
        <v>Não encontrado</v>
      </c>
    </row>
    <row r="247" spans="1:5" x14ac:dyDescent="0.3">
      <c r="A247" t="s">
        <v>2019</v>
      </c>
      <c r="B247" t="s">
        <v>2020</v>
      </c>
      <c r="C247" t="s">
        <v>2021</v>
      </c>
      <c r="D247" s="6" t="str">
        <f>IFERROR(VLOOKUP(A247,base_fiis_inv10!$A$1:$C$282,2,FALSE),"Não encontrado")</f>
        <v>Não encontrado</v>
      </c>
      <c r="E247" s="6" t="str">
        <f>IFERROR(VLOOKUP(A247,base_fiis_inv10!$A$1:$C$282,3,FALSE),"Não encontrado")</f>
        <v>Não encontrado</v>
      </c>
    </row>
    <row r="248" spans="1:5" x14ac:dyDescent="0.3">
      <c r="A248" t="s">
        <v>2022</v>
      </c>
      <c r="B248" t="s">
        <v>2023</v>
      </c>
      <c r="C248" t="s">
        <v>2024</v>
      </c>
      <c r="D248" s="6" t="str">
        <f>IFERROR(VLOOKUP(A248,base_fiis_inv10!$A$1:$C$282,2,FALSE),"Não encontrado")</f>
        <v>Não encontrado</v>
      </c>
      <c r="E248" s="6" t="str">
        <f>IFERROR(VLOOKUP(A248,base_fiis_inv10!$A$1:$C$282,3,FALSE),"Não encontrado")</f>
        <v>Não encontrado</v>
      </c>
    </row>
    <row r="249" spans="1:5" x14ac:dyDescent="0.3">
      <c r="A249" t="s">
        <v>2025</v>
      </c>
      <c r="B249" t="s">
        <v>2026</v>
      </c>
      <c r="C249" t="s">
        <v>2027</v>
      </c>
      <c r="D249" s="6" t="str">
        <f>IFERROR(VLOOKUP(A249,base_fiis_inv10!$A$1:$C$282,2,FALSE),"Não encontrado")</f>
        <v>Não encontrado</v>
      </c>
      <c r="E249" s="6" t="str">
        <f>IFERROR(VLOOKUP(A249,base_fiis_inv10!$A$1:$C$282,3,FALSE),"Não encontrado")</f>
        <v>Não encontrado</v>
      </c>
    </row>
    <row r="250" spans="1:5" x14ac:dyDescent="0.3">
      <c r="A250" t="s">
        <v>2028</v>
      </c>
      <c r="B250" t="s">
        <v>2029</v>
      </c>
      <c r="C250" t="s">
        <v>2030</v>
      </c>
      <c r="D250" s="6" t="str">
        <f>IFERROR(VLOOKUP(A250,base_fiis_inv10!$A$1:$C$282,2,FALSE),"Não encontrado")</f>
        <v>Não encontrado</v>
      </c>
      <c r="E250" s="6" t="str">
        <f>IFERROR(VLOOKUP(A250,base_fiis_inv10!$A$1:$C$282,3,FALSE),"Não encontrado")</f>
        <v>Não encontrado</v>
      </c>
    </row>
    <row r="251" spans="1:5" x14ac:dyDescent="0.3">
      <c r="A251" t="s">
        <v>2031</v>
      </c>
      <c r="B251" t="s">
        <v>2032</v>
      </c>
      <c r="C251" t="s">
        <v>2033</v>
      </c>
      <c r="D251" s="6" t="str">
        <f>IFERROR(VLOOKUP(A251,base_fiis_inv10!$A$1:$C$282,2,FALSE),"Não encontrado")</f>
        <v>Fundo de fundos</v>
      </c>
      <c r="E251" s="6" t="str">
        <f>IFERROR(VLOOKUP(A251,base_fiis_inv10!$A$1:$C$282,3,FALSE),"Não encontrado")</f>
        <v>Títulos e Valores Mobiliários</v>
      </c>
    </row>
    <row r="252" spans="1:5" x14ac:dyDescent="0.3">
      <c r="A252" t="s">
        <v>2034</v>
      </c>
      <c r="B252" t="s">
        <v>2035</v>
      </c>
      <c r="C252" t="s">
        <v>2036</v>
      </c>
      <c r="D252" s="6" t="str">
        <f>IFERROR(VLOOKUP(A252,base_fiis_inv10!$A$1:$C$282,2,FALSE),"Não encontrado")</f>
        <v>Fundo de papel</v>
      </c>
      <c r="E252" s="6" t="str">
        <f>IFERROR(VLOOKUP(A252,base_fiis_inv10!$A$1:$C$282,3,FALSE),"Não encontrado")</f>
        <v>Híbrido</v>
      </c>
    </row>
    <row r="253" spans="1:5" x14ac:dyDescent="0.3">
      <c r="A253" t="s">
        <v>2037</v>
      </c>
      <c r="B253" t="s">
        <v>2038</v>
      </c>
      <c r="C253" t="s">
        <v>2039</v>
      </c>
      <c r="D253" s="6" t="str">
        <f>IFERROR(VLOOKUP(A253,base_fiis_inv10!$A$1:$C$282,2,FALSE),"Não encontrado")</f>
        <v>Fundo de Tijolo</v>
      </c>
      <c r="E253" s="6" t="str">
        <f>IFERROR(VLOOKUP(A253,base_fiis_inv10!$A$1:$C$282,3,FALSE),"Não encontrado")</f>
        <v>Logístico / Indústria / Galpões</v>
      </c>
    </row>
    <row r="254" spans="1:5" x14ac:dyDescent="0.3">
      <c r="A254" t="s">
        <v>2040</v>
      </c>
      <c r="B254" t="s">
        <v>2041</v>
      </c>
      <c r="C254" t="s">
        <v>2042</v>
      </c>
      <c r="D254" s="6" t="str">
        <f>IFERROR(VLOOKUP(A254,base_fiis_inv10!$A$1:$C$282,2,FALSE),"Não encontrado")</f>
        <v>Não encontrado</v>
      </c>
      <c r="E254" s="6" t="str">
        <f>IFERROR(VLOOKUP(A254,base_fiis_inv10!$A$1:$C$282,3,FALSE),"Não encontrado")</f>
        <v>Não encontrado</v>
      </c>
    </row>
    <row r="255" spans="1:5" x14ac:dyDescent="0.3">
      <c r="A255" t="s">
        <v>2043</v>
      </c>
      <c r="B255" t="s">
        <v>2044</v>
      </c>
      <c r="C255" t="s">
        <v>2045</v>
      </c>
      <c r="D255" s="6" t="str">
        <f>IFERROR(VLOOKUP(A255,base_fiis_inv10!$A$1:$C$282,2,FALSE),"Não encontrado")</f>
        <v>Não encontrado</v>
      </c>
      <c r="E255" s="6" t="str">
        <f>IFERROR(VLOOKUP(A255,base_fiis_inv10!$A$1:$C$282,3,FALSE),"Não encontrado")</f>
        <v>Não encontrado</v>
      </c>
    </row>
    <row r="256" spans="1:5" x14ac:dyDescent="0.3">
      <c r="A256" t="s">
        <v>2046</v>
      </c>
      <c r="B256" t="s">
        <v>2047</v>
      </c>
      <c r="C256" t="s">
        <v>2048</v>
      </c>
      <c r="D256" s="6" t="str">
        <f>IFERROR(VLOOKUP(A256,base_fiis_inv10!$A$1:$C$282,2,FALSE),"Não encontrado")</f>
        <v>Não encontrado</v>
      </c>
      <c r="E256" s="6" t="str">
        <f>IFERROR(VLOOKUP(A256,base_fiis_inv10!$A$1:$C$282,3,FALSE),"Não encontrado")</f>
        <v>Não encontrado</v>
      </c>
    </row>
    <row r="257" spans="1:5" x14ac:dyDescent="0.3">
      <c r="A257" t="s">
        <v>2049</v>
      </c>
      <c r="B257" t="s">
        <v>2050</v>
      </c>
      <c r="C257" t="s">
        <v>2051</v>
      </c>
      <c r="D257" s="6" t="str">
        <f>IFERROR(VLOOKUP(A257,base_fiis_inv10!$A$1:$C$282,2,FALSE),"Não encontrado")</f>
        <v>Fundo de Tijolo</v>
      </c>
      <c r="E257" s="6" t="str">
        <f>IFERROR(VLOOKUP(A257,base_fiis_inv10!$A$1:$C$282,3,FALSE),"Não encontrado")</f>
        <v>Logístico / Indústria / Galpões</v>
      </c>
    </row>
    <row r="258" spans="1:5" x14ac:dyDescent="0.3">
      <c r="A258" t="s">
        <v>2052</v>
      </c>
      <c r="B258" t="s">
        <v>2053</v>
      </c>
      <c r="C258" t="s">
        <v>2054</v>
      </c>
      <c r="D258" s="6" t="str">
        <f>IFERROR(VLOOKUP(A258,base_fiis_inv10!$A$1:$C$282,2,FALSE),"Não encontrado")</f>
        <v>Não encontrado</v>
      </c>
      <c r="E258" s="6" t="str">
        <f>IFERROR(VLOOKUP(A258,base_fiis_inv10!$A$1:$C$282,3,FALSE),"Não encontrado")</f>
        <v>Não encontrado</v>
      </c>
    </row>
    <row r="259" spans="1:5" x14ac:dyDescent="0.3">
      <c r="A259" t="s">
        <v>2055</v>
      </c>
      <c r="B259" t="s">
        <v>2056</v>
      </c>
      <c r="C259" t="s">
        <v>2057</v>
      </c>
      <c r="D259" s="6" t="str">
        <f>IFERROR(VLOOKUP(A259,base_fiis_inv10!$A$1:$C$282,2,FALSE),"Não encontrado")</f>
        <v>Fundo de papel</v>
      </c>
      <c r="E259" s="6" t="str">
        <f>IFERROR(VLOOKUP(A259,base_fiis_inv10!$A$1:$C$282,3,FALSE),"Não encontrado")</f>
        <v>Títulos e Valores Mobiliários</v>
      </c>
    </row>
    <row r="260" spans="1:5" x14ac:dyDescent="0.3">
      <c r="A260" t="s">
        <v>2058</v>
      </c>
      <c r="B260" t="s">
        <v>2059</v>
      </c>
      <c r="C260" t="s">
        <v>2060</v>
      </c>
      <c r="D260" s="6" t="str">
        <f>IFERROR(VLOOKUP(A260,base_fiis_inv10!$A$1:$C$282,2,FALSE),"Não encontrado")</f>
        <v>Não encontrado</v>
      </c>
      <c r="E260" s="6" t="str">
        <f>IFERROR(VLOOKUP(A260,base_fiis_inv10!$A$1:$C$282,3,FALSE),"Não encontrado")</f>
        <v>Não encontrado</v>
      </c>
    </row>
    <row r="261" spans="1:5" x14ac:dyDescent="0.3">
      <c r="A261" t="s">
        <v>2061</v>
      </c>
      <c r="B261" t="s">
        <v>2062</v>
      </c>
      <c r="C261" t="s">
        <v>2063</v>
      </c>
      <c r="D261" s="6" t="str">
        <f>IFERROR(VLOOKUP(A261,base_fiis_inv10!$A$1:$C$282,2,FALSE),"Não encontrado")</f>
        <v>Não encontrado</v>
      </c>
      <c r="E261" s="6" t="str">
        <f>IFERROR(VLOOKUP(A261,base_fiis_inv10!$A$1:$C$282,3,FALSE),"Não encontrado")</f>
        <v>Não encontrado</v>
      </c>
    </row>
    <row r="262" spans="1:5" x14ac:dyDescent="0.3">
      <c r="A262" t="s">
        <v>2064</v>
      </c>
      <c r="B262" t="s">
        <v>2065</v>
      </c>
      <c r="C262" t="s">
        <v>2066</v>
      </c>
      <c r="D262" s="6" t="str">
        <f>IFERROR(VLOOKUP(A262,base_fiis_inv10!$A$1:$C$282,2,FALSE),"Não encontrado")</f>
        <v>Outro</v>
      </c>
      <c r="E262" s="6" t="str">
        <f>IFERROR(VLOOKUP(A262,base_fiis_inv10!$A$1:$C$282,3,FALSE),"Não encontrado")</f>
        <v>Híbrido</v>
      </c>
    </row>
    <row r="263" spans="1:5" x14ac:dyDescent="0.3">
      <c r="A263" t="s">
        <v>2067</v>
      </c>
      <c r="B263" t="s">
        <v>2068</v>
      </c>
      <c r="C263" t="s">
        <v>2069</v>
      </c>
      <c r="D263" s="6" t="str">
        <f>IFERROR(VLOOKUP(A263,base_fiis_inv10!$A$1:$C$282,2,FALSE),"Não encontrado")</f>
        <v>Não encontrado</v>
      </c>
      <c r="E263" s="6" t="str">
        <f>IFERROR(VLOOKUP(A263,base_fiis_inv10!$A$1:$C$282,3,FALSE),"Não encontrado")</f>
        <v>Não encontrado</v>
      </c>
    </row>
    <row r="264" spans="1:5" x14ac:dyDescent="0.3">
      <c r="A264" t="s">
        <v>2070</v>
      </c>
      <c r="B264" t="s">
        <v>2071</v>
      </c>
      <c r="C264" t="s">
        <v>2072</v>
      </c>
      <c r="D264" s="6" t="str">
        <f>IFERROR(VLOOKUP(A264,base_fiis_inv10!$A$1:$C$282,2,FALSE),"Não encontrado")</f>
        <v>Não encontrado</v>
      </c>
      <c r="E264" s="6" t="str">
        <f>IFERROR(VLOOKUP(A264,base_fiis_inv10!$A$1:$C$282,3,FALSE),"Não encontrado")</f>
        <v>Não encontrado</v>
      </c>
    </row>
    <row r="265" spans="1:5" x14ac:dyDescent="0.3">
      <c r="A265" t="s">
        <v>2073</v>
      </c>
      <c r="B265" t="s">
        <v>2074</v>
      </c>
      <c r="C265" t="s">
        <v>2075</v>
      </c>
      <c r="D265" s="6" t="str">
        <f>IFERROR(VLOOKUP(A265,base_fiis_inv10!$A$1:$C$282,2,FALSE),"Não encontrado")</f>
        <v>Fundo de desenvolvimento</v>
      </c>
      <c r="E265" s="6" t="str">
        <f>IFERROR(VLOOKUP(A265,base_fiis_inv10!$A$1:$C$282,3,FALSE),"Não encontrado")</f>
        <v>Híbrido</v>
      </c>
    </row>
    <row r="266" spans="1:5" x14ac:dyDescent="0.3">
      <c r="A266" t="s">
        <v>2076</v>
      </c>
      <c r="B266" t="s">
        <v>2077</v>
      </c>
      <c r="C266" t="s">
        <v>2078</v>
      </c>
      <c r="D266" s="6" t="str">
        <f>IFERROR(VLOOKUP(A266,base_fiis_inv10!$A$1:$C$282,2,FALSE),"Não encontrado")</f>
        <v>Fundo misto</v>
      </c>
      <c r="E266" s="6" t="str">
        <f>IFERROR(VLOOKUP(A266,base_fiis_inv10!$A$1:$C$282,3,FALSE),"Não encontrado")</f>
        <v>Híbrido</v>
      </c>
    </row>
    <row r="267" spans="1:5" x14ac:dyDescent="0.3">
      <c r="A267" t="s">
        <v>2079</v>
      </c>
      <c r="B267" t="s">
        <v>2080</v>
      </c>
      <c r="C267" t="s">
        <v>2081</v>
      </c>
      <c r="D267" s="6" t="str">
        <f>IFERROR(VLOOKUP(A267,base_fiis_inv10!$A$1:$C$282,2,FALSE),"Não encontrado")</f>
        <v>Fundo de papel</v>
      </c>
      <c r="E267" s="6" t="str">
        <f>IFERROR(VLOOKUP(A267,base_fiis_inv10!$A$1:$C$282,3,FALSE),"Não encontrado")</f>
        <v>Títulos e Valores Mobiliários</v>
      </c>
    </row>
    <row r="268" spans="1:5" x14ac:dyDescent="0.3">
      <c r="A268" t="s">
        <v>2082</v>
      </c>
      <c r="B268" t="s">
        <v>2083</v>
      </c>
      <c r="C268" t="s">
        <v>2084</v>
      </c>
      <c r="D268" s="6" t="str">
        <f>IFERROR(VLOOKUP(A268,base_fiis_inv10!$A$1:$C$282,2,FALSE),"Não encontrado")</f>
        <v>Fundo de Tijolo</v>
      </c>
      <c r="E268" s="6" t="str">
        <f>IFERROR(VLOOKUP(A268,base_fiis_inv10!$A$1:$C$282,3,FALSE),"Não encontrado")</f>
        <v>Logístico / Indústria / Galpões</v>
      </c>
    </row>
    <row r="269" spans="1:5" x14ac:dyDescent="0.3">
      <c r="A269" t="s">
        <v>2085</v>
      </c>
      <c r="B269" t="s">
        <v>2086</v>
      </c>
      <c r="C269" t="s">
        <v>2087</v>
      </c>
      <c r="D269" s="6" t="str">
        <f>IFERROR(VLOOKUP(A269,base_fiis_inv10!$A$1:$C$282,2,FALSE),"Não encontrado")</f>
        <v>Fundo de Tijolo</v>
      </c>
      <c r="E269" s="6" t="str">
        <f>IFERROR(VLOOKUP(A269,base_fiis_inv10!$A$1:$C$282,3,FALSE),"Não encontrado")</f>
        <v>Shoppings / Varejo</v>
      </c>
    </row>
    <row r="270" spans="1:5" x14ac:dyDescent="0.3">
      <c r="A270" t="s">
        <v>2088</v>
      </c>
      <c r="B270" t="s">
        <v>2089</v>
      </c>
      <c r="C270" t="s">
        <v>2090</v>
      </c>
      <c r="D270" s="6" t="str">
        <f>IFERROR(VLOOKUP(A270,base_fiis_inv10!$A$1:$C$282,2,FALSE),"Não encontrado")</f>
        <v>Não encontrado</v>
      </c>
      <c r="E270" s="6" t="str">
        <f>IFERROR(VLOOKUP(A270,base_fiis_inv10!$A$1:$C$282,3,FALSE),"Não encontrado")</f>
        <v>Não encontrado</v>
      </c>
    </row>
    <row r="271" spans="1:5" x14ac:dyDescent="0.3">
      <c r="A271" t="s">
        <v>2091</v>
      </c>
      <c r="B271" t="s">
        <v>2092</v>
      </c>
      <c r="C271" t="s">
        <v>2093</v>
      </c>
      <c r="D271" s="6" t="str">
        <f>IFERROR(VLOOKUP(A271,base_fiis_inv10!$A$1:$C$282,2,FALSE),"Não encontrado")</f>
        <v>Não encontrado</v>
      </c>
      <c r="E271" s="6" t="str">
        <f>IFERROR(VLOOKUP(A271,base_fiis_inv10!$A$1:$C$282,3,FALSE),"Não encontrado")</f>
        <v>Não encontrado</v>
      </c>
    </row>
    <row r="272" spans="1:5" x14ac:dyDescent="0.3">
      <c r="A272" t="s">
        <v>2094</v>
      </c>
      <c r="B272" t="s">
        <v>2095</v>
      </c>
      <c r="C272" t="s">
        <v>2096</v>
      </c>
      <c r="D272" s="6" t="str">
        <f>IFERROR(VLOOKUP(A272,base_fiis_inv10!$A$1:$C$282,2,FALSE),"Não encontrado")</f>
        <v>Não encontrado</v>
      </c>
      <c r="E272" s="6" t="str">
        <f>IFERROR(VLOOKUP(A272,base_fiis_inv10!$A$1:$C$282,3,FALSE),"Não encontrado")</f>
        <v>Não encontrado</v>
      </c>
    </row>
    <row r="273" spans="1:5" x14ac:dyDescent="0.3">
      <c r="A273" t="s">
        <v>2097</v>
      </c>
      <c r="B273" t="s">
        <v>2098</v>
      </c>
      <c r="C273" t="s">
        <v>2099</v>
      </c>
      <c r="D273" s="6" t="str">
        <f>IFERROR(VLOOKUP(A273,base_fiis_inv10!$A$1:$C$282,2,FALSE),"Não encontrado")</f>
        <v>Fundo de Tijolo</v>
      </c>
      <c r="E273" s="6" t="str">
        <f>IFERROR(VLOOKUP(A273,base_fiis_inv10!$A$1:$C$282,3,FALSE),"Não encontrado")</f>
        <v>Lajes Corporativas</v>
      </c>
    </row>
    <row r="274" spans="1:5" x14ac:dyDescent="0.3">
      <c r="A274" t="s">
        <v>2100</v>
      </c>
      <c r="B274" t="s">
        <v>2101</v>
      </c>
      <c r="C274" t="s">
        <v>2102</v>
      </c>
      <c r="D274" s="6" t="str">
        <f>IFERROR(VLOOKUP(A274,base_fiis_inv10!$A$1:$C$282,2,FALSE),"Não encontrado")</f>
        <v>Não encontrado</v>
      </c>
      <c r="E274" s="6" t="str">
        <f>IFERROR(VLOOKUP(A274,base_fiis_inv10!$A$1:$C$282,3,FALSE),"Não encontrado")</f>
        <v>Não encontrado</v>
      </c>
    </row>
    <row r="275" spans="1:5" x14ac:dyDescent="0.3">
      <c r="A275" t="s">
        <v>2103</v>
      </c>
      <c r="B275" t="s">
        <v>2104</v>
      </c>
      <c r="C275" t="s">
        <v>2105</v>
      </c>
      <c r="D275" s="6" t="str">
        <f>IFERROR(VLOOKUP(A275,base_fiis_inv10!$A$1:$C$282,2,FALSE),"Não encontrado")</f>
        <v>Não encontrado</v>
      </c>
      <c r="E275" s="6" t="str">
        <f>IFERROR(VLOOKUP(A275,base_fiis_inv10!$A$1:$C$282,3,FALSE),"Não encontrado")</f>
        <v>Não encontrado</v>
      </c>
    </row>
    <row r="276" spans="1:5" x14ac:dyDescent="0.3">
      <c r="A276" t="s">
        <v>2106</v>
      </c>
      <c r="B276" t="s">
        <v>2107</v>
      </c>
      <c r="C276" t="s">
        <v>2108</v>
      </c>
      <c r="D276" s="6" t="str">
        <f>IFERROR(VLOOKUP(A276,base_fiis_inv10!$A$1:$C$282,2,FALSE),"Não encontrado")</f>
        <v>Fundo de Tijolo</v>
      </c>
      <c r="E276" s="6" t="str">
        <f>IFERROR(VLOOKUP(A276,base_fiis_inv10!$A$1:$C$282,3,FALSE),"Não encontrado")</f>
        <v>Educacional</v>
      </c>
    </row>
    <row r="277" spans="1:5" x14ac:dyDescent="0.3">
      <c r="A277" t="s">
        <v>2109</v>
      </c>
      <c r="B277" t="s">
        <v>2110</v>
      </c>
      <c r="C277" t="s">
        <v>2111</v>
      </c>
      <c r="D277" s="6" t="str">
        <f>IFERROR(VLOOKUP(A277,base_fiis_inv10!$A$1:$C$282,2,FALSE),"Não encontrado")</f>
        <v>Fundo de fundos</v>
      </c>
      <c r="E277" s="6" t="str">
        <f>IFERROR(VLOOKUP(A277,base_fiis_inv10!$A$1:$C$282,3,FALSE),"Não encontrado")</f>
        <v>Títulos e Valores Mobiliários</v>
      </c>
    </row>
    <row r="278" spans="1:5" x14ac:dyDescent="0.3">
      <c r="A278" t="s">
        <v>2112</v>
      </c>
      <c r="B278" t="s">
        <v>2113</v>
      </c>
      <c r="C278" t="s">
        <v>2114</v>
      </c>
      <c r="D278" s="6" t="str">
        <f>IFERROR(VLOOKUP(A278,base_fiis_inv10!$A$1:$C$282,2,FALSE),"Não encontrado")</f>
        <v>Fundo de papel</v>
      </c>
      <c r="E278" s="6" t="str">
        <f>IFERROR(VLOOKUP(A278,base_fiis_inv10!$A$1:$C$282,3,FALSE),"Não encontrado")</f>
        <v>Títulos e Valores Mobiliários</v>
      </c>
    </row>
    <row r="279" spans="1:5" x14ac:dyDescent="0.3">
      <c r="A279" t="s">
        <v>2115</v>
      </c>
      <c r="B279" t="s">
        <v>2116</v>
      </c>
      <c r="C279" t="s">
        <v>2117</v>
      </c>
      <c r="D279" s="6" t="str">
        <f>IFERROR(VLOOKUP(A279,base_fiis_inv10!$A$1:$C$282,2,FALSE),"Não encontrado")</f>
        <v>Fundo de papel</v>
      </c>
      <c r="E279" s="6" t="str">
        <f>IFERROR(VLOOKUP(A279,base_fiis_inv10!$A$1:$C$282,3,FALSE),"Não encontrado")</f>
        <v>Títulos e Valores Mobiliários</v>
      </c>
    </row>
    <row r="280" spans="1:5" x14ac:dyDescent="0.3">
      <c r="A280" t="s">
        <v>2118</v>
      </c>
      <c r="B280" t="s">
        <v>2119</v>
      </c>
      <c r="C280" t="s">
        <v>2120</v>
      </c>
      <c r="D280" s="6" t="str">
        <f>IFERROR(VLOOKUP(A280,base_fiis_inv10!$A$1:$C$282,2,FALSE),"Não encontrado")</f>
        <v>Fundo de desenvolvimento</v>
      </c>
      <c r="E280" s="6" t="str">
        <f>IFERROR(VLOOKUP(A280,base_fiis_inv10!$A$1:$C$282,3,FALSE),"Não encontrado")</f>
        <v>Outros</v>
      </c>
    </row>
    <row r="281" spans="1:5" x14ac:dyDescent="0.3">
      <c r="A281" t="s">
        <v>2121</v>
      </c>
      <c r="B281" t="s">
        <v>2122</v>
      </c>
      <c r="C281" t="s">
        <v>2123</v>
      </c>
      <c r="D281" s="6" t="str">
        <f>IFERROR(VLOOKUP(A281,base_fiis_inv10!$A$1:$C$282,2,FALSE),"Não encontrado")</f>
        <v>Não encontrado</v>
      </c>
      <c r="E281" s="6" t="str">
        <f>IFERROR(VLOOKUP(A281,base_fiis_inv10!$A$1:$C$282,3,FALSE),"Não encontrado")</f>
        <v>Não encontrado</v>
      </c>
    </row>
    <row r="282" spans="1:5" x14ac:dyDescent="0.3">
      <c r="A282" t="s">
        <v>2124</v>
      </c>
      <c r="B282" t="s">
        <v>2125</v>
      </c>
      <c r="C282" t="s">
        <v>2126</v>
      </c>
      <c r="D282" s="6" t="str">
        <f>IFERROR(VLOOKUP(A282,base_fiis_inv10!$A$1:$C$282,2,FALSE),"Não encontrado")</f>
        <v>Não encontrado</v>
      </c>
      <c r="E282" s="6" t="str">
        <f>IFERROR(VLOOKUP(A282,base_fiis_inv10!$A$1:$C$282,3,FALSE),"Não encontrado")</f>
        <v>Não encontrado</v>
      </c>
    </row>
    <row r="283" spans="1:5" x14ac:dyDescent="0.3">
      <c r="A283" t="s">
        <v>2127</v>
      </c>
      <c r="B283" t="s">
        <v>2128</v>
      </c>
      <c r="C283" t="s">
        <v>2129</v>
      </c>
      <c r="D283" s="6" t="str">
        <f>IFERROR(VLOOKUP(A283,base_fiis_inv10!$A$1:$C$282,2,FALSE),"Não encontrado")</f>
        <v>Não encontrado</v>
      </c>
      <c r="E283" s="6" t="str">
        <f>IFERROR(VLOOKUP(A283,base_fiis_inv10!$A$1:$C$282,3,FALSE),"Não encontrado")</f>
        <v>Não encontrado</v>
      </c>
    </row>
    <row r="284" spans="1:5" x14ac:dyDescent="0.3">
      <c r="A284" t="s">
        <v>2130</v>
      </c>
      <c r="B284" t="s">
        <v>2131</v>
      </c>
      <c r="C284" t="s">
        <v>2132</v>
      </c>
      <c r="D284" s="6" t="str">
        <f>IFERROR(VLOOKUP(A284,base_fiis_inv10!$A$1:$C$282,2,FALSE),"Não encontrado")</f>
        <v>Não encontrado</v>
      </c>
      <c r="E284" s="6" t="str">
        <f>IFERROR(VLOOKUP(A284,base_fiis_inv10!$A$1:$C$282,3,FALSE),"Não encontrado")</f>
        <v>Não encontrado</v>
      </c>
    </row>
    <row r="285" spans="1:5" x14ac:dyDescent="0.3">
      <c r="A285" t="s">
        <v>2133</v>
      </c>
      <c r="B285" t="s">
        <v>2134</v>
      </c>
      <c r="C285" t="s">
        <v>2135</v>
      </c>
      <c r="D285" s="6" t="str">
        <f>IFERROR(VLOOKUP(A285,base_fiis_inv10!$A$1:$C$282,2,FALSE),"Não encontrado")</f>
        <v>Fundo de desenvolvimento</v>
      </c>
      <c r="E285" s="6" t="str">
        <f>IFERROR(VLOOKUP(A285,base_fiis_inv10!$A$1:$C$282,3,FALSE),"Não encontrado")</f>
        <v>Híbrido</v>
      </c>
    </row>
    <row r="286" spans="1:5" x14ac:dyDescent="0.3">
      <c r="A286" t="s">
        <v>2136</v>
      </c>
      <c r="B286" t="s">
        <v>2137</v>
      </c>
      <c r="C286" t="s">
        <v>2138</v>
      </c>
      <c r="D286" s="6" t="str">
        <f>IFERROR(VLOOKUP(A286,base_fiis_inv10!$A$1:$C$282,2,FALSE),"Não encontrado")</f>
        <v>Fundo de Tijolo</v>
      </c>
      <c r="E286" s="6" t="str">
        <f>IFERROR(VLOOKUP(A286,base_fiis_inv10!$A$1:$C$282,3,FALSE),"Não encontrado")</f>
        <v>Logístico / Indústria / Galpões</v>
      </c>
    </row>
    <row r="287" spans="1:5" x14ac:dyDescent="0.3">
      <c r="A287" t="s">
        <v>2139</v>
      </c>
      <c r="B287" t="s">
        <v>2140</v>
      </c>
      <c r="C287" t="s">
        <v>2141</v>
      </c>
      <c r="D287" s="6" t="str">
        <f>IFERROR(VLOOKUP(A287,base_fiis_inv10!$A$1:$C$282,2,FALSE),"Não encontrado")</f>
        <v>Não encontrado</v>
      </c>
      <c r="E287" s="6" t="str">
        <f>IFERROR(VLOOKUP(A287,base_fiis_inv10!$A$1:$C$282,3,FALSE),"Não encontrado")</f>
        <v>Não encontrado</v>
      </c>
    </row>
    <row r="288" spans="1:5" x14ac:dyDescent="0.3">
      <c r="A288" t="s">
        <v>2142</v>
      </c>
      <c r="B288" t="s">
        <v>2143</v>
      </c>
      <c r="C288" t="s">
        <v>2144</v>
      </c>
      <c r="D288" s="6" t="str">
        <f>IFERROR(VLOOKUP(A288,base_fiis_inv10!$A$1:$C$282,2,FALSE),"Não encontrado")</f>
        <v>Fundo de Tijolo</v>
      </c>
      <c r="E288" s="6" t="str">
        <f>IFERROR(VLOOKUP(A288,base_fiis_inv10!$A$1:$C$282,3,FALSE),"Não encontrado")</f>
        <v>Outros</v>
      </c>
    </row>
    <row r="289" spans="1:5" x14ac:dyDescent="0.3">
      <c r="A289" t="s">
        <v>2145</v>
      </c>
      <c r="B289" t="s">
        <v>2146</v>
      </c>
      <c r="C289" t="s">
        <v>2147</v>
      </c>
      <c r="D289" s="6" t="str">
        <f>IFERROR(VLOOKUP(A289,base_fiis_inv10!$A$1:$C$282,2,FALSE),"Não encontrado")</f>
        <v>Fundo de papel</v>
      </c>
      <c r="E289" s="6" t="str">
        <f>IFERROR(VLOOKUP(A289,base_fiis_inv10!$A$1:$C$282,3,FALSE),"Não encontrado")</f>
        <v>Títulos e Valores Mobiliários</v>
      </c>
    </row>
    <row r="290" spans="1:5" x14ac:dyDescent="0.3">
      <c r="A290" t="s">
        <v>2148</v>
      </c>
      <c r="B290" t="s">
        <v>2149</v>
      </c>
      <c r="C290" t="s">
        <v>2150</v>
      </c>
      <c r="D290" s="6" t="str">
        <f>IFERROR(VLOOKUP(A290,base_fiis_inv10!$A$1:$C$282,2,FALSE),"Não encontrado")</f>
        <v>Não encontrado</v>
      </c>
      <c r="E290" s="6" t="str">
        <f>IFERROR(VLOOKUP(A290,base_fiis_inv10!$A$1:$C$282,3,FALSE),"Não encontrado")</f>
        <v>Não encontrado</v>
      </c>
    </row>
    <row r="291" spans="1:5" x14ac:dyDescent="0.3">
      <c r="A291" t="s">
        <v>2151</v>
      </c>
      <c r="B291" t="s">
        <v>2152</v>
      </c>
      <c r="C291" t="s">
        <v>2153</v>
      </c>
      <c r="D291" s="6" t="str">
        <f>IFERROR(VLOOKUP(A291,base_fiis_inv10!$A$1:$C$282,2,FALSE),"Não encontrado")</f>
        <v>Fundo de fundos</v>
      </c>
      <c r="E291" s="6" t="str">
        <f>IFERROR(VLOOKUP(A291,base_fiis_inv10!$A$1:$C$282,3,FALSE),"Não encontrado")</f>
        <v>Títulos e Valores Mobiliários</v>
      </c>
    </row>
    <row r="292" spans="1:5" x14ac:dyDescent="0.3">
      <c r="A292" t="s">
        <v>2154</v>
      </c>
      <c r="B292" t="s">
        <v>2155</v>
      </c>
      <c r="C292" t="s">
        <v>2156</v>
      </c>
      <c r="D292" s="6" t="str">
        <f>IFERROR(VLOOKUP(A292,base_fiis_inv10!$A$1:$C$282,2,FALSE),"Não encontrado")</f>
        <v>Fundo de papel</v>
      </c>
      <c r="E292" s="6" t="str">
        <f>IFERROR(VLOOKUP(A292,base_fiis_inv10!$A$1:$C$282,3,FALSE),"Não encontrado")</f>
        <v>Títulos e Valores Mobiliários</v>
      </c>
    </row>
    <row r="293" spans="1:5" x14ac:dyDescent="0.3">
      <c r="A293" t="s">
        <v>2157</v>
      </c>
      <c r="B293" t="s">
        <v>2158</v>
      </c>
      <c r="C293" t="s">
        <v>2159</v>
      </c>
      <c r="D293" s="6" t="str">
        <f>IFERROR(VLOOKUP(A293,base_fiis_inv10!$A$1:$C$282,2,FALSE),"Não encontrado")</f>
        <v>Não encontrado</v>
      </c>
      <c r="E293" s="6" t="str">
        <f>IFERROR(VLOOKUP(A293,base_fiis_inv10!$A$1:$C$282,3,FALSE),"Não encontrado")</f>
        <v>Não encontrado</v>
      </c>
    </row>
    <row r="294" spans="1:5" x14ac:dyDescent="0.3">
      <c r="A294" t="s">
        <v>2160</v>
      </c>
      <c r="B294" t="s">
        <v>2161</v>
      </c>
      <c r="C294" t="s">
        <v>2162</v>
      </c>
      <c r="D294" s="6" t="str">
        <f>IFERROR(VLOOKUP(A294,base_fiis_inv10!$A$1:$C$282,2,FALSE),"Não encontrado")</f>
        <v>Fundo de Tijolo</v>
      </c>
      <c r="E294" s="6" t="str">
        <f>IFERROR(VLOOKUP(A294,base_fiis_inv10!$A$1:$C$282,3,FALSE),"Não encontrado")</f>
        <v>Híbrido</v>
      </c>
    </row>
    <row r="295" spans="1:5" x14ac:dyDescent="0.3">
      <c r="A295" t="s">
        <v>2163</v>
      </c>
      <c r="B295" t="s">
        <v>2164</v>
      </c>
      <c r="C295" t="s">
        <v>2165</v>
      </c>
      <c r="D295" s="6" t="str">
        <f>IFERROR(VLOOKUP(A295,base_fiis_inv10!$A$1:$C$282,2,FALSE),"Não encontrado")</f>
        <v>Não encontrado</v>
      </c>
      <c r="E295" s="6" t="str">
        <f>IFERROR(VLOOKUP(A295,base_fiis_inv10!$A$1:$C$282,3,FALSE),"Não encontrado")</f>
        <v>Não encontrado</v>
      </c>
    </row>
    <row r="296" spans="1:5" x14ac:dyDescent="0.3">
      <c r="A296" t="s">
        <v>2166</v>
      </c>
      <c r="B296" t="s">
        <v>2167</v>
      </c>
      <c r="C296" t="s">
        <v>2168</v>
      </c>
      <c r="D296" s="6" t="str">
        <f>IFERROR(VLOOKUP(A296,base_fiis_inv10!$A$1:$C$282,2,FALSE),"Não encontrado")</f>
        <v>Não encontrado</v>
      </c>
      <c r="E296" s="6" t="str">
        <f>IFERROR(VLOOKUP(A296,base_fiis_inv10!$A$1:$C$282,3,FALSE),"Não encontrado")</f>
        <v>Não encontrado</v>
      </c>
    </row>
    <row r="297" spans="1:5" x14ac:dyDescent="0.3">
      <c r="A297" t="s">
        <v>2169</v>
      </c>
      <c r="B297" t="s">
        <v>2170</v>
      </c>
      <c r="C297" t="s">
        <v>2171</v>
      </c>
      <c r="D297" s="6" t="str">
        <f>IFERROR(VLOOKUP(A297,base_fiis_inv10!$A$1:$C$282,2,FALSE),"Não encontrado")</f>
        <v>Não encontrado</v>
      </c>
      <c r="E297" s="6" t="str">
        <f>IFERROR(VLOOKUP(A297,base_fiis_inv10!$A$1:$C$282,3,FALSE),"Não encontrado")</f>
        <v>Não encontrado</v>
      </c>
    </row>
    <row r="298" spans="1:5" x14ac:dyDescent="0.3">
      <c r="A298" t="s">
        <v>2172</v>
      </c>
      <c r="B298" t="s">
        <v>2173</v>
      </c>
      <c r="C298" t="s">
        <v>2174</v>
      </c>
      <c r="D298" s="6" t="str">
        <f>IFERROR(VLOOKUP(A298,base_fiis_inv10!$A$1:$C$282,2,FALSE),"Não encontrado")</f>
        <v>Fundo de Tijolo</v>
      </c>
      <c r="E298" s="6" t="str">
        <f>IFERROR(VLOOKUP(A298,base_fiis_inv10!$A$1:$C$282,3,FALSE),"Não encontrado")</f>
        <v>Lajes Corporativas</v>
      </c>
    </row>
    <row r="299" spans="1:5" x14ac:dyDescent="0.3">
      <c r="A299" t="s">
        <v>2175</v>
      </c>
      <c r="B299" t="s">
        <v>2176</v>
      </c>
      <c r="C299" t="s">
        <v>2177</v>
      </c>
      <c r="D299" s="6" t="str">
        <f>IFERROR(VLOOKUP(A299,base_fiis_inv10!$A$1:$C$282,2,FALSE),"Não encontrado")</f>
        <v>Não encontrado</v>
      </c>
      <c r="E299" s="6" t="str">
        <f>IFERROR(VLOOKUP(A299,base_fiis_inv10!$A$1:$C$282,3,FALSE),"Não encontrado")</f>
        <v>Não encontrado</v>
      </c>
    </row>
    <row r="300" spans="1:5" x14ac:dyDescent="0.3">
      <c r="A300" t="s">
        <v>2178</v>
      </c>
      <c r="B300" t="s">
        <v>2179</v>
      </c>
      <c r="C300" t="s">
        <v>2180</v>
      </c>
      <c r="D300" s="6" t="str">
        <f>IFERROR(VLOOKUP(A300,base_fiis_inv10!$A$1:$C$282,2,FALSE),"Não encontrado")</f>
        <v>Fundo de papel</v>
      </c>
      <c r="E300" s="6" t="str">
        <f>IFERROR(VLOOKUP(A300,base_fiis_inv10!$A$1:$C$282,3,FALSE),"Não encontrado")</f>
        <v>Títulos e Valores Mobiliários</v>
      </c>
    </row>
    <row r="301" spans="1:5" x14ac:dyDescent="0.3">
      <c r="A301" t="s">
        <v>2181</v>
      </c>
      <c r="B301" t="s">
        <v>2182</v>
      </c>
      <c r="C301" t="s">
        <v>2183</v>
      </c>
      <c r="D301" s="6" t="str">
        <f>IFERROR(VLOOKUP(A301,base_fiis_inv10!$A$1:$C$282,2,FALSE),"Não encontrado")</f>
        <v>Outro</v>
      </c>
      <c r="E301" s="6" t="str">
        <f>IFERROR(VLOOKUP(A301,base_fiis_inv10!$A$1:$C$282,3,FALSE),"Não encontrado")</f>
        <v>Híbrido</v>
      </c>
    </row>
    <row r="302" spans="1:5" x14ac:dyDescent="0.3">
      <c r="A302" t="s">
        <v>2184</v>
      </c>
      <c r="B302" t="s">
        <v>2185</v>
      </c>
      <c r="C302" t="s">
        <v>2186</v>
      </c>
      <c r="D302" s="6" t="str">
        <f>IFERROR(VLOOKUP(A302,base_fiis_inv10!$A$1:$C$282,2,FALSE),"Não encontrado")</f>
        <v>Não encontrado</v>
      </c>
      <c r="E302" s="6" t="str">
        <f>IFERROR(VLOOKUP(A302,base_fiis_inv10!$A$1:$C$282,3,FALSE),"Não encontrado")</f>
        <v>Não encontrado</v>
      </c>
    </row>
    <row r="303" spans="1:5" x14ac:dyDescent="0.3">
      <c r="A303" t="s">
        <v>2187</v>
      </c>
      <c r="B303" t="s">
        <v>2188</v>
      </c>
      <c r="C303" t="s">
        <v>2189</v>
      </c>
      <c r="D303" s="6" t="str">
        <f>IFERROR(VLOOKUP(A303,base_fiis_inv10!$A$1:$C$282,2,FALSE),"Não encontrado")</f>
        <v>Não encontrado</v>
      </c>
      <c r="E303" s="6" t="str">
        <f>IFERROR(VLOOKUP(A303,base_fiis_inv10!$A$1:$C$282,3,FALSE),"Não encontrado")</f>
        <v>Não encontrado</v>
      </c>
    </row>
    <row r="304" spans="1:5" x14ac:dyDescent="0.3">
      <c r="A304" t="s">
        <v>2190</v>
      </c>
      <c r="B304" t="s">
        <v>2191</v>
      </c>
      <c r="C304" t="s">
        <v>2192</v>
      </c>
      <c r="D304" s="6" t="str">
        <f>IFERROR(VLOOKUP(A304,base_fiis_inv10!$A$1:$C$282,2,FALSE),"Não encontrado")</f>
        <v>Fundo de Tijolo</v>
      </c>
      <c r="E304" s="6" t="str">
        <f>IFERROR(VLOOKUP(A304,base_fiis_inv10!$A$1:$C$282,3,FALSE),"Não encontrado")</f>
        <v>Híbrido</v>
      </c>
    </row>
    <row r="305" spans="1:5" x14ac:dyDescent="0.3">
      <c r="A305" t="s">
        <v>2193</v>
      </c>
      <c r="B305" t="s">
        <v>2194</v>
      </c>
      <c r="C305" t="s">
        <v>2195</v>
      </c>
      <c r="D305" s="6" t="str">
        <f>IFERROR(VLOOKUP(A305,base_fiis_inv10!$A$1:$C$282,2,FALSE),"Não encontrado")</f>
        <v>Não encontrado</v>
      </c>
      <c r="E305" s="6" t="str">
        <f>IFERROR(VLOOKUP(A305,base_fiis_inv10!$A$1:$C$282,3,FALSE),"Não encontrado")</f>
        <v>Não encontrado</v>
      </c>
    </row>
    <row r="306" spans="1:5" x14ac:dyDescent="0.3">
      <c r="A306" t="s">
        <v>2196</v>
      </c>
      <c r="B306" t="s">
        <v>2197</v>
      </c>
      <c r="C306" t="s">
        <v>2198</v>
      </c>
      <c r="D306" s="6" t="str">
        <f>IFERROR(VLOOKUP(A306,base_fiis_inv10!$A$1:$C$282,2,FALSE),"Não encontrado")</f>
        <v>Fundo de fundos</v>
      </c>
      <c r="E306" s="6" t="str">
        <f>IFERROR(VLOOKUP(A306,base_fiis_inv10!$A$1:$C$282,3,FALSE),"Não encontrado")</f>
        <v>Títulos e Valores Mobiliários</v>
      </c>
    </row>
    <row r="307" spans="1:5" x14ac:dyDescent="0.3">
      <c r="A307" t="s">
        <v>2199</v>
      </c>
      <c r="B307" t="s">
        <v>2200</v>
      </c>
      <c r="C307" t="s">
        <v>2201</v>
      </c>
      <c r="D307" s="6" t="str">
        <f>IFERROR(VLOOKUP(A307,base_fiis_inv10!$A$1:$C$282,2,FALSE),"Não encontrado")</f>
        <v>Outro</v>
      </c>
      <c r="E307" s="6" t="str">
        <f>IFERROR(VLOOKUP(A307,base_fiis_inv10!$A$1:$C$282,3,FALSE),"Não encontrado")</f>
        <v>Títulos e Valores Mobiliários</v>
      </c>
    </row>
    <row r="308" spans="1:5" x14ac:dyDescent="0.3">
      <c r="A308" t="s">
        <v>2202</v>
      </c>
      <c r="B308" t="s">
        <v>2203</v>
      </c>
      <c r="C308" t="s">
        <v>2204</v>
      </c>
      <c r="D308" s="6" t="str">
        <f>IFERROR(VLOOKUP(A308,base_fiis_inv10!$A$1:$C$282,2,FALSE),"Não encontrado")</f>
        <v>Não encontrado</v>
      </c>
      <c r="E308" s="6" t="str">
        <f>IFERROR(VLOOKUP(A308,base_fiis_inv10!$A$1:$C$282,3,FALSE),"Não encontrado")</f>
        <v>Não encontrado</v>
      </c>
    </row>
    <row r="309" spans="1:5" x14ac:dyDescent="0.3">
      <c r="A309" t="s">
        <v>2205</v>
      </c>
      <c r="B309" t="s">
        <v>2206</v>
      </c>
      <c r="C309" t="s">
        <v>2207</v>
      </c>
      <c r="D309" s="6" t="str">
        <f>IFERROR(VLOOKUP(A309,base_fiis_inv10!$A$1:$C$282,2,FALSE),"Não encontrado")</f>
        <v>Não encontrado</v>
      </c>
      <c r="E309" s="6" t="str">
        <f>IFERROR(VLOOKUP(A309,base_fiis_inv10!$A$1:$C$282,3,FALSE),"Não encontrado")</f>
        <v>Não encontrado</v>
      </c>
    </row>
    <row r="310" spans="1:5" x14ac:dyDescent="0.3">
      <c r="A310" t="s">
        <v>2208</v>
      </c>
      <c r="B310" t="s">
        <v>2209</v>
      </c>
      <c r="C310" t="s">
        <v>2210</v>
      </c>
      <c r="D310" s="6" t="str">
        <f>IFERROR(VLOOKUP(A310,base_fiis_inv10!$A$1:$C$282,2,FALSE),"Não encontrado")</f>
        <v>Não encontrado</v>
      </c>
      <c r="E310" s="6" t="str">
        <f>IFERROR(VLOOKUP(A310,base_fiis_inv10!$A$1:$C$282,3,FALSE),"Não encontrado")</f>
        <v>Não encontrado</v>
      </c>
    </row>
    <row r="311" spans="1:5" x14ac:dyDescent="0.3">
      <c r="A311" t="s">
        <v>2211</v>
      </c>
      <c r="B311" t="s">
        <v>2212</v>
      </c>
      <c r="C311" t="s">
        <v>2213</v>
      </c>
      <c r="D311" s="6" t="str">
        <f>IFERROR(VLOOKUP(A311,base_fiis_inv10!$A$1:$C$282,2,FALSE),"Não encontrado")</f>
        <v>Não encontrado</v>
      </c>
      <c r="E311" s="6" t="str">
        <f>IFERROR(VLOOKUP(A311,base_fiis_inv10!$A$1:$C$282,3,FALSE),"Não encontrado")</f>
        <v>Não encontrado</v>
      </c>
    </row>
    <row r="312" spans="1:5" x14ac:dyDescent="0.3">
      <c r="A312" t="s">
        <v>2214</v>
      </c>
      <c r="B312" t="s">
        <v>2215</v>
      </c>
      <c r="C312" t="s">
        <v>2216</v>
      </c>
      <c r="D312" s="6" t="str">
        <f>IFERROR(VLOOKUP(A312,base_fiis_inv10!$A$1:$C$282,2,FALSE),"Não encontrado")</f>
        <v>Fundo de papel</v>
      </c>
      <c r="E312" s="6" t="str">
        <f>IFERROR(VLOOKUP(A312,base_fiis_inv10!$A$1:$C$282,3,FALSE),"Não encontrado")</f>
        <v>Híbrido</v>
      </c>
    </row>
    <row r="313" spans="1:5" x14ac:dyDescent="0.3">
      <c r="A313" t="s">
        <v>2217</v>
      </c>
      <c r="B313" t="s">
        <v>2218</v>
      </c>
      <c r="C313" t="s">
        <v>2219</v>
      </c>
      <c r="D313" s="6" t="str">
        <f>IFERROR(VLOOKUP(A313,base_fiis_inv10!$A$1:$C$282,2,FALSE),"Não encontrado")</f>
        <v>Fundo de papel</v>
      </c>
      <c r="E313" s="6" t="str">
        <f>IFERROR(VLOOKUP(A313,base_fiis_inv10!$A$1:$C$282,3,FALSE),"Não encontrado")</f>
        <v>Títulos e Valores Mobiliários</v>
      </c>
    </row>
    <row r="314" spans="1:5" x14ac:dyDescent="0.3">
      <c r="A314" t="s">
        <v>2220</v>
      </c>
      <c r="B314" t="s">
        <v>2221</v>
      </c>
      <c r="C314" t="s">
        <v>2222</v>
      </c>
      <c r="D314" s="6" t="str">
        <f>IFERROR(VLOOKUP(A314,base_fiis_inv10!$A$1:$C$282,2,FALSE),"Não encontrado")</f>
        <v>Fundo de desenvolvimento</v>
      </c>
      <c r="E314" s="6" t="str">
        <f>IFERROR(VLOOKUP(A314,base_fiis_inv10!$A$1:$C$282,3,FALSE),"Não encontrado")</f>
        <v>Outros</v>
      </c>
    </row>
    <row r="315" spans="1:5" x14ac:dyDescent="0.3">
      <c r="A315" t="s">
        <v>2223</v>
      </c>
      <c r="B315" t="s">
        <v>2224</v>
      </c>
      <c r="C315" t="s">
        <v>2225</v>
      </c>
      <c r="D315" s="6" t="str">
        <f>IFERROR(VLOOKUP(A315,base_fiis_inv10!$A$1:$C$282,2,FALSE),"Não encontrado")</f>
        <v>Não encontrado</v>
      </c>
      <c r="E315" s="6" t="str">
        <f>IFERROR(VLOOKUP(A315,base_fiis_inv10!$A$1:$C$282,3,FALSE),"Não encontrado")</f>
        <v>Não encontrado</v>
      </c>
    </row>
    <row r="316" spans="1:5" x14ac:dyDescent="0.3">
      <c r="A316" t="s">
        <v>2226</v>
      </c>
      <c r="B316" t="s">
        <v>2227</v>
      </c>
      <c r="C316" t="s">
        <v>2228</v>
      </c>
      <c r="D316" s="6" t="str">
        <f>IFERROR(VLOOKUP(A316,base_fiis_inv10!$A$1:$C$282,2,FALSE),"Não encontrado")</f>
        <v>Fundo de fundos</v>
      </c>
      <c r="E316" s="6" t="str">
        <f>IFERROR(VLOOKUP(A316,base_fiis_inv10!$A$1:$C$282,3,FALSE),"Não encontrado")</f>
        <v>Títulos e Valores Mobiliários</v>
      </c>
    </row>
    <row r="317" spans="1:5" x14ac:dyDescent="0.3">
      <c r="A317" t="s">
        <v>2229</v>
      </c>
      <c r="B317" t="s">
        <v>2230</v>
      </c>
      <c r="C317" t="s">
        <v>2231</v>
      </c>
      <c r="D317" s="6" t="str">
        <f>IFERROR(VLOOKUP(A317,base_fiis_inv10!$A$1:$C$282,2,FALSE),"Não encontrado")</f>
        <v>Fundo de papel</v>
      </c>
      <c r="E317" s="6" t="str">
        <f>IFERROR(VLOOKUP(A317,base_fiis_inv10!$A$1:$C$282,3,FALSE),"Não encontrado")</f>
        <v>Títulos e Valores Mobiliários</v>
      </c>
    </row>
    <row r="318" spans="1:5" x14ac:dyDescent="0.3">
      <c r="A318" t="s">
        <v>2232</v>
      </c>
      <c r="B318" t="s">
        <v>2233</v>
      </c>
      <c r="C318" t="s">
        <v>2234</v>
      </c>
      <c r="D318" s="6" t="str">
        <f>IFERROR(VLOOKUP(A318,base_fiis_inv10!$A$1:$C$282,2,FALSE),"Não encontrado")</f>
        <v>Fundo de Tijolo</v>
      </c>
      <c r="E318" s="6" t="str">
        <f>IFERROR(VLOOKUP(A318,base_fiis_inv10!$A$1:$C$282,3,FALSE),"Não encontrado")</f>
        <v>Híbrido</v>
      </c>
    </row>
    <row r="319" spans="1:5" x14ac:dyDescent="0.3">
      <c r="A319" t="s">
        <v>2235</v>
      </c>
      <c r="B319" t="s">
        <v>2236</v>
      </c>
      <c r="C319" t="s">
        <v>2237</v>
      </c>
      <c r="D319" s="6" t="str">
        <f>IFERROR(VLOOKUP(A319,base_fiis_inv10!$A$1:$C$282,2,FALSE),"Não encontrado")</f>
        <v>Outro</v>
      </c>
      <c r="E319" s="6" t="str">
        <f>IFERROR(VLOOKUP(A319,base_fiis_inv10!$A$1:$C$282,3,FALSE),"Não encontrado")</f>
        <v>Híbrido</v>
      </c>
    </row>
    <row r="320" spans="1:5" x14ac:dyDescent="0.3">
      <c r="A320" t="s">
        <v>2238</v>
      </c>
      <c r="B320" t="s">
        <v>2239</v>
      </c>
      <c r="C320" t="s">
        <v>2240</v>
      </c>
      <c r="D320" s="6" t="str">
        <f>IFERROR(VLOOKUP(A320,base_fiis_inv10!$A$1:$C$282,2,FALSE),"Não encontrado")</f>
        <v>Fundo de papel</v>
      </c>
      <c r="E320" s="6" t="str">
        <f>IFERROR(VLOOKUP(A320,base_fiis_inv10!$A$1:$C$282,3,FALSE),"Não encontrado")</f>
        <v>Títulos e Valores Mobiliários</v>
      </c>
    </row>
    <row r="321" spans="1:5" x14ac:dyDescent="0.3">
      <c r="A321" t="s">
        <v>2241</v>
      </c>
      <c r="B321" t="s">
        <v>2242</v>
      </c>
      <c r="C321" t="s">
        <v>2243</v>
      </c>
      <c r="D321" s="6" t="str">
        <f>IFERROR(VLOOKUP(A321,base_fiis_inv10!$A$1:$C$282,2,FALSE),"Não encontrado")</f>
        <v>Não encontrado</v>
      </c>
      <c r="E321" s="6" t="str">
        <f>IFERROR(VLOOKUP(A321,base_fiis_inv10!$A$1:$C$282,3,FALSE),"Não encontrado")</f>
        <v>Não encontrado</v>
      </c>
    </row>
    <row r="322" spans="1:5" x14ac:dyDescent="0.3">
      <c r="A322" t="s">
        <v>2244</v>
      </c>
      <c r="B322" t="s">
        <v>2245</v>
      </c>
      <c r="C322" t="s">
        <v>2246</v>
      </c>
      <c r="D322" s="6" t="str">
        <f>IFERROR(VLOOKUP(A322,base_fiis_inv10!$A$1:$C$282,2,FALSE),"Não encontrado")</f>
        <v>Fundo de papel</v>
      </c>
      <c r="E322" s="6" t="str">
        <f>IFERROR(VLOOKUP(A322,base_fiis_inv10!$A$1:$C$282,3,FALSE),"Não encontrado")</f>
        <v>Títulos e Valores Mobiliários</v>
      </c>
    </row>
    <row r="323" spans="1:5" x14ac:dyDescent="0.3">
      <c r="A323" t="s">
        <v>2247</v>
      </c>
      <c r="B323" t="s">
        <v>2248</v>
      </c>
      <c r="C323" t="s">
        <v>2249</v>
      </c>
      <c r="D323" s="6" t="str">
        <f>IFERROR(VLOOKUP(A323,base_fiis_inv10!$A$1:$C$282,2,FALSE),"Não encontrado")</f>
        <v>Fundo misto</v>
      </c>
      <c r="E323" s="6" t="str">
        <f>IFERROR(VLOOKUP(A323,base_fiis_inv10!$A$1:$C$282,3,FALSE),"Não encontrado")</f>
        <v>Híbrido</v>
      </c>
    </row>
    <row r="324" spans="1:5" x14ac:dyDescent="0.3">
      <c r="A324" t="s">
        <v>2250</v>
      </c>
      <c r="B324" t="s">
        <v>2251</v>
      </c>
      <c r="C324" t="s">
        <v>2252</v>
      </c>
      <c r="D324" s="6" t="str">
        <f>IFERROR(VLOOKUP(A324,base_fiis_inv10!$A$1:$C$282,2,FALSE),"Não encontrado")</f>
        <v>Não encontrado</v>
      </c>
      <c r="E324" s="6" t="str">
        <f>IFERROR(VLOOKUP(A324,base_fiis_inv10!$A$1:$C$282,3,FALSE),"Não encontrado")</f>
        <v>Não encontrado</v>
      </c>
    </row>
    <row r="325" spans="1:5" x14ac:dyDescent="0.3">
      <c r="A325" t="s">
        <v>2253</v>
      </c>
      <c r="B325" t="s">
        <v>2254</v>
      </c>
      <c r="C325" t="s">
        <v>2255</v>
      </c>
      <c r="D325" s="6" t="str">
        <f>IFERROR(VLOOKUP(A325,base_fiis_inv10!$A$1:$C$282,2,FALSE),"Não encontrado")</f>
        <v>Não encontrado</v>
      </c>
      <c r="E325" s="6" t="str">
        <f>IFERROR(VLOOKUP(A325,base_fiis_inv10!$A$1:$C$282,3,FALSE),"Não encontrado")</f>
        <v>Não encontrado</v>
      </c>
    </row>
    <row r="326" spans="1:5" x14ac:dyDescent="0.3">
      <c r="A326" t="s">
        <v>2256</v>
      </c>
      <c r="B326" t="s">
        <v>2257</v>
      </c>
      <c r="C326" t="s">
        <v>2258</v>
      </c>
      <c r="D326" s="6" t="str">
        <f>IFERROR(VLOOKUP(A326,base_fiis_inv10!$A$1:$C$282,2,FALSE),"Não encontrado")</f>
        <v>Não encontrado</v>
      </c>
      <c r="E326" s="6" t="str">
        <f>IFERROR(VLOOKUP(A326,base_fiis_inv10!$A$1:$C$282,3,FALSE),"Não encontrado")</f>
        <v>Não encontrado</v>
      </c>
    </row>
    <row r="327" spans="1:5" x14ac:dyDescent="0.3">
      <c r="A327" t="s">
        <v>2259</v>
      </c>
      <c r="B327" t="s">
        <v>2260</v>
      </c>
      <c r="C327" t="s">
        <v>2261</v>
      </c>
      <c r="D327" s="6" t="str">
        <f>IFERROR(VLOOKUP(A327,base_fiis_inv10!$A$1:$C$282,2,FALSE),"Não encontrado")</f>
        <v>Não encontrado</v>
      </c>
      <c r="E327" s="6" t="str">
        <f>IFERROR(VLOOKUP(A327,base_fiis_inv10!$A$1:$C$282,3,FALSE),"Não encontrado")</f>
        <v>Não encontrado</v>
      </c>
    </row>
    <row r="328" spans="1:5" x14ac:dyDescent="0.3">
      <c r="A328" t="s">
        <v>2262</v>
      </c>
      <c r="B328" t="s">
        <v>2263</v>
      </c>
      <c r="C328" t="s">
        <v>2264</v>
      </c>
      <c r="D328" s="6" t="str">
        <f>IFERROR(VLOOKUP(A328,base_fiis_inv10!$A$1:$C$282,2,FALSE),"Não encontrado")</f>
        <v>Fundo de Tijolo</v>
      </c>
      <c r="E328" s="6" t="str">
        <f>IFERROR(VLOOKUP(A328,base_fiis_inv10!$A$1:$C$282,3,FALSE),"Não encontrado")</f>
        <v>Shoppings / Varejo</v>
      </c>
    </row>
    <row r="329" spans="1:5" x14ac:dyDescent="0.3">
      <c r="A329" t="s">
        <v>2265</v>
      </c>
      <c r="B329" t="s">
        <v>1314</v>
      </c>
      <c r="C329" t="s">
        <v>1315</v>
      </c>
      <c r="D329" s="6" t="str">
        <f>IFERROR(VLOOKUP(A329,base_fiis_inv10!$A$1:$C$282,2,FALSE),"Não encontrado")</f>
        <v>Não encontrado</v>
      </c>
      <c r="E329" s="6" t="str">
        <f>IFERROR(VLOOKUP(A329,base_fiis_inv10!$A$1:$C$282,3,FALSE),"Não encontrado")</f>
        <v>Não encontrado</v>
      </c>
    </row>
    <row r="330" spans="1:5" x14ac:dyDescent="0.3">
      <c r="A330" t="s">
        <v>2266</v>
      </c>
      <c r="B330" t="s">
        <v>2267</v>
      </c>
      <c r="C330" t="s">
        <v>2268</v>
      </c>
      <c r="D330" s="6" t="str">
        <f>IFERROR(VLOOKUP(A330,base_fiis_inv10!$A$1:$C$282,2,FALSE),"Não encontrado")</f>
        <v>Não encontrado</v>
      </c>
      <c r="E330" s="6" t="str">
        <f>IFERROR(VLOOKUP(A330,base_fiis_inv10!$A$1:$C$282,3,FALSE),"Não encontrado")</f>
        <v>Não encontrado</v>
      </c>
    </row>
    <row r="331" spans="1:5" x14ac:dyDescent="0.3">
      <c r="A331" t="s">
        <v>2269</v>
      </c>
      <c r="B331" t="s">
        <v>2270</v>
      </c>
      <c r="C331" t="s">
        <v>2271</v>
      </c>
      <c r="D331" s="6" t="str">
        <f>IFERROR(VLOOKUP(A331,base_fiis_inv10!$A$1:$C$282,2,FALSE),"Não encontrado")</f>
        <v>Outro</v>
      </c>
      <c r="E331" s="6" t="str">
        <f>IFERROR(VLOOKUP(A331,base_fiis_inv10!$A$1:$C$282,3,FALSE),"Não encontrado")</f>
        <v>Outros</v>
      </c>
    </row>
    <row r="332" spans="1:5" x14ac:dyDescent="0.3">
      <c r="A332" t="s">
        <v>2272</v>
      </c>
      <c r="B332" t="s">
        <v>2273</v>
      </c>
      <c r="C332" t="s">
        <v>2274</v>
      </c>
      <c r="D332" s="6" t="str">
        <f>IFERROR(VLOOKUP(A332,base_fiis_inv10!$A$1:$C$282,2,FALSE),"Não encontrado")</f>
        <v>Outro</v>
      </c>
      <c r="E332" s="6" t="str">
        <f>IFERROR(VLOOKUP(A332,base_fiis_inv10!$A$1:$C$282,3,FALSE),"Não encontrado")</f>
        <v>Títulos e Valores Mobiliários</v>
      </c>
    </row>
    <row r="333" spans="1:5" x14ac:dyDescent="0.3">
      <c r="A333" t="s">
        <v>2275</v>
      </c>
      <c r="B333" t="s">
        <v>2276</v>
      </c>
      <c r="C333" t="s">
        <v>2277</v>
      </c>
      <c r="D333" s="6" t="str">
        <f>IFERROR(VLOOKUP(A333,base_fiis_inv10!$A$1:$C$282,2,FALSE),"Não encontrado")</f>
        <v>Outro</v>
      </c>
      <c r="E333" s="6" t="str">
        <f>IFERROR(VLOOKUP(A333,base_fiis_inv10!$A$1:$C$282,3,FALSE),"Não encontrado")</f>
        <v>Outros</v>
      </c>
    </row>
    <row r="334" spans="1:5" x14ac:dyDescent="0.3">
      <c r="A334" t="s">
        <v>2278</v>
      </c>
      <c r="B334" t="s">
        <v>2279</v>
      </c>
      <c r="C334" t="s">
        <v>2280</v>
      </c>
      <c r="D334" s="6" t="str">
        <f>IFERROR(VLOOKUP(A334,base_fiis_inv10!$A$1:$C$282,2,FALSE),"Não encontrado")</f>
        <v>Fundo de fundos</v>
      </c>
      <c r="E334" s="6" t="str">
        <f>IFERROR(VLOOKUP(A334,base_fiis_inv10!$A$1:$C$282,3,FALSE),"Não encontrado")</f>
        <v>Títulos e Valores Mobiliários</v>
      </c>
    </row>
    <row r="335" spans="1:5" x14ac:dyDescent="0.3">
      <c r="A335" t="s">
        <v>2281</v>
      </c>
      <c r="B335" t="s">
        <v>2282</v>
      </c>
      <c r="C335" t="s">
        <v>2283</v>
      </c>
      <c r="D335" s="6" t="str">
        <f>IFERROR(VLOOKUP(A335,base_fiis_inv10!$A$1:$C$282,2,FALSE),"Não encontrado")</f>
        <v>Não encontrado</v>
      </c>
      <c r="E335" s="6" t="str">
        <f>IFERROR(VLOOKUP(A335,base_fiis_inv10!$A$1:$C$282,3,FALSE),"Não encontrado")</f>
        <v>Não encontrado</v>
      </c>
    </row>
    <row r="336" spans="1:5" x14ac:dyDescent="0.3">
      <c r="A336" t="s">
        <v>2284</v>
      </c>
      <c r="B336" t="s">
        <v>2285</v>
      </c>
      <c r="C336" t="s">
        <v>2286</v>
      </c>
      <c r="D336" s="6" t="str">
        <f>IFERROR(VLOOKUP(A336,base_fiis_inv10!$A$1:$C$282,2,FALSE),"Não encontrado")</f>
        <v>Fundo misto</v>
      </c>
      <c r="E336" s="6" t="str">
        <f>IFERROR(VLOOKUP(A336,base_fiis_inv10!$A$1:$C$282,3,FALSE),"Não encontrado")</f>
        <v>Híbrido</v>
      </c>
    </row>
    <row r="337" spans="1:5" x14ac:dyDescent="0.3">
      <c r="A337" t="s">
        <v>2287</v>
      </c>
      <c r="B337" t="s">
        <v>2288</v>
      </c>
      <c r="C337" t="s">
        <v>2289</v>
      </c>
      <c r="D337" s="6" t="str">
        <f>IFERROR(VLOOKUP(A337,base_fiis_inv10!$A$1:$C$282,2,FALSE),"Não encontrado")</f>
        <v>Não encontrado</v>
      </c>
      <c r="E337" s="6" t="str">
        <f>IFERROR(VLOOKUP(A337,base_fiis_inv10!$A$1:$C$282,3,FALSE),"Não encontrado")</f>
        <v>Não encontrado</v>
      </c>
    </row>
    <row r="338" spans="1:5" x14ac:dyDescent="0.3">
      <c r="A338" t="s">
        <v>2290</v>
      </c>
      <c r="B338" t="s">
        <v>2291</v>
      </c>
      <c r="C338" t="s">
        <v>2292</v>
      </c>
      <c r="D338" s="6" t="str">
        <f>IFERROR(VLOOKUP(A338,base_fiis_inv10!$A$1:$C$282,2,FALSE),"Não encontrado")</f>
        <v>Não encontrado</v>
      </c>
      <c r="E338" s="6" t="str">
        <f>IFERROR(VLOOKUP(A338,base_fiis_inv10!$A$1:$C$282,3,FALSE),"Não encontrado")</f>
        <v>Não encontrado</v>
      </c>
    </row>
    <row r="339" spans="1:5" x14ac:dyDescent="0.3">
      <c r="A339" t="s">
        <v>2293</v>
      </c>
      <c r="B339" t="s">
        <v>2294</v>
      </c>
      <c r="C339" t="s">
        <v>2295</v>
      </c>
      <c r="D339" s="6" t="str">
        <f>IFERROR(VLOOKUP(A339,base_fiis_inv10!$A$1:$C$282,2,FALSE),"Não encontrado")</f>
        <v>Não encontrado</v>
      </c>
      <c r="E339" s="6" t="str">
        <f>IFERROR(VLOOKUP(A339,base_fiis_inv10!$A$1:$C$282,3,FALSE),"Não encontrado")</f>
        <v>Não encontrado</v>
      </c>
    </row>
    <row r="340" spans="1:5" x14ac:dyDescent="0.3">
      <c r="A340" t="s">
        <v>2296</v>
      </c>
      <c r="B340" t="s">
        <v>2294</v>
      </c>
      <c r="C340" t="s">
        <v>2295</v>
      </c>
      <c r="D340" s="6" t="str">
        <f>IFERROR(VLOOKUP(A340,base_fiis_inv10!$A$1:$C$282,2,FALSE),"Não encontrado")</f>
        <v>Não encontrado</v>
      </c>
      <c r="E340" s="6" t="str">
        <f>IFERROR(VLOOKUP(A340,base_fiis_inv10!$A$1:$C$282,3,FALSE),"Não encontrado")</f>
        <v>Não encontrado</v>
      </c>
    </row>
    <row r="341" spans="1:5" x14ac:dyDescent="0.3">
      <c r="A341" t="s">
        <v>2297</v>
      </c>
      <c r="B341" t="s">
        <v>2294</v>
      </c>
      <c r="C341" t="s">
        <v>2295</v>
      </c>
      <c r="D341" s="6" t="str">
        <f>IFERROR(VLOOKUP(A341,base_fiis_inv10!$A$1:$C$282,2,FALSE),"Não encontrado")</f>
        <v>Não encontrado</v>
      </c>
      <c r="E341" s="6" t="str">
        <f>IFERROR(VLOOKUP(A341,base_fiis_inv10!$A$1:$C$282,3,FALSE),"Não encontrado")</f>
        <v>Não encontrado</v>
      </c>
    </row>
    <row r="342" spans="1:5" x14ac:dyDescent="0.3">
      <c r="A342" t="s">
        <v>2298</v>
      </c>
      <c r="B342" t="s">
        <v>2299</v>
      </c>
      <c r="C342" t="s">
        <v>2300</v>
      </c>
      <c r="D342" s="6" t="str">
        <f>IFERROR(VLOOKUP(A342,base_fiis_inv10!$A$1:$C$282,2,FALSE),"Não encontrado")</f>
        <v>Não encontrado</v>
      </c>
      <c r="E342" s="6" t="str">
        <f>IFERROR(VLOOKUP(A342,base_fiis_inv10!$A$1:$C$282,3,FALSE),"Não encontrado")</f>
        <v>Não encontrado</v>
      </c>
    </row>
    <row r="343" spans="1:5" x14ac:dyDescent="0.3">
      <c r="A343" t="s">
        <v>2301</v>
      </c>
      <c r="B343" t="s">
        <v>2302</v>
      </c>
      <c r="C343" t="s">
        <v>2303</v>
      </c>
      <c r="D343" s="6" t="str">
        <f>IFERROR(VLOOKUP(A343,base_fiis_inv10!$A$1:$C$282,2,FALSE),"Não encontrado")</f>
        <v>Não encontrado</v>
      </c>
      <c r="E343" s="6" t="str">
        <f>IFERROR(VLOOKUP(A343,base_fiis_inv10!$A$1:$C$282,3,FALSE),"Não encontrado")</f>
        <v>Não encontrado</v>
      </c>
    </row>
    <row r="344" spans="1:5" x14ac:dyDescent="0.3">
      <c r="A344" t="s">
        <v>2304</v>
      </c>
      <c r="B344" t="s">
        <v>2305</v>
      </c>
      <c r="C344" t="s">
        <v>2306</v>
      </c>
      <c r="D344" s="6" t="str">
        <f>IFERROR(VLOOKUP(A344,base_fiis_inv10!$A$1:$C$282,2,FALSE),"Não encontrado")</f>
        <v>Outro</v>
      </c>
      <c r="E344" s="6" t="str">
        <f>IFERROR(VLOOKUP(A344,base_fiis_inv10!$A$1:$C$282,3,FALSE),"Não encontrado")</f>
        <v>Híbrido</v>
      </c>
    </row>
    <row r="345" spans="1:5" x14ac:dyDescent="0.3">
      <c r="A345" t="s">
        <v>2307</v>
      </c>
      <c r="B345" t="s">
        <v>2308</v>
      </c>
      <c r="C345" t="s">
        <v>2309</v>
      </c>
      <c r="D345" s="6" t="str">
        <f>IFERROR(VLOOKUP(A345,base_fiis_inv10!$A$1:$C$282,2,FALSE),"Não encontrado")</f>
        <v>Não encontrado</v>
      </c>
      <c r="E345" s="6" t="str">
        <f>IFERROR(VLOOKUP(A345,base_fiis_inv10!$A$1:$C$282,3,FALSE),"Não encontrado")</f>
        <v>Não encontrado</v>
      </c>
    </row>
    <row r="346" spans="1:5" x14ac:dyDescent="0.3">
      <c r="A346" t="s">
        <v>2310</v>
      </c>
      <c r="B346" t="s">
        <v>2311</v>
      </c>
      <c r="C346" t="s">
        <v>2312</v>
      </c>
      <c r="D346" s="6" t="str">
        <f>IFERROR(VLOOKUP(A346,base_fiis_inv10!$A$1:$C$282,2,FALSE),"Não encontrado")</f>
        <v>Não encontrado</v>
      </c>
      <c r="E346" s="6" t="str">
        <f>IFERROR(VLOOKUP(A346,base_fiis_inv10!$A$1:$C$282,3,FALSE),"Não encontrado")</f>
        <v>Não encontrado</v>
      </c>
    </row>
    <row r="347" spans="1:5" x14ac:dyDescent="0.3">
      <c r="A347" t="s">
        <v>2313</v>
      </c>
      <c r="B347" t="s">
        <v>2311</v>
      </c>
      <c r="C347" t="s">
        <v>2312</v>
      </c>
      <c r="D347" s="6" t="str">
        <f>IFERROR(VLOOKUP(A347,base_fiis_inv10!$A$1:$C$282,2,FALSE),"Não encontrado")</f>
        <v>Não encontrado</v>
      </c>
      <c r="E347" s="6" t="str">
        <f>IFERROR(VLOOKUP(A347,base_fiis_inv10!$A$1:$C$282,3,FALSE),"Não encontrado")</f>
        <v>Não encontrado</v>
      </c>
    </row>
    <row r="348" spans="1:5" x14ac:dyDescent="0.3">
      <c r="A348" t="s">
        <v>2314</v>
      </c>
      <c r="B348" t="s">
        <v>2315</v>
      </c>
      <c r="C348" t="s">
        <v>2316</v>
      </c>
      <c r="D348" s="6" t="str">
        <f>IFERROR(VLOOKUP(A348,base_fiis_inv10!$A$1:$C$282,2,FALSE),"Não encontrado")</f>
        <v>Fundo de Tijolo</v>
      </c>
      <c r="E348" s="6" t="str">
        <f>IFERROR(VLOOKUP(A348,base_fiis_inv10!$A$1:$C$282,3,FALSE),"Não encontrado")</f>
        <v>Lajes Corporativas</v>
      </c>
    </row>
    <row r="349" spans="1:5" x14ac:dyDescent="0.3">
      <c r="A349" t="s">
        <v>2317</v>
      </c>
      <c r="B349" t="s">
        <v>2318</v>
      </c>
      <c r="C349" t="s">
        <v>2319</v>
      </c>
      <c r="D349" s="6" t="str">
        <f>IFERROR(VLOOKUP(A349,base_fiis_inv10!$A$1:$C$282,2,FALSE),"Não encontrado")</f>
        <v>Fundo de desenvolvimento</v>
      </c>
      <c r="E349" s="6" t="str">
        <f>IFERROR(VLOOKUP(A349,base_fiis_inv10!$A$1:$C$282,3,FALSE),"Não encontrado")</f>
        <v>Híbrido</v>
      </c>
    </row>
    <row r="350" spans="1:5" x14ac:dyDescent="0.3">
      <c r="A350" t="s">
        <v>2320</v>
      </c>
      <c r="B350" t="s">
        <v>2321</v>
      </c>
      <c r="C350" t="s">
        <v>2322</v>
      </c>
      <c r="D350" s="6" t="str">
        <f>IFERROR(VLOOKUP(A350,base_fiis_inv10!$A$1:$C$282,2,FALSE),"Não encontrado")</f>
        <v>Outro</v>
      </c>
      <c r="E350" s="6" t="str">
        <f>IFERROR(VLOOKUP(A350,base_fiis_inv10!$A$1:$C$282,3,FALSE),"Não encontrado")</f>
        <v>Lajes Corporativas</v>
      </c>
    </row>
    <row r="351" spans="1:5" x14ac:dyDescent="0.3">
      <c r="A351" t="s">
        <v>2323</v>
      </c>
      <c r="B351" t="s">
        <v>2324</v>
      </c>
      <c r="C351" t="s">
        <v>2325</v>
      </c>
      <c r="D351" s="6" t="str">
        <f>IFERROR(VLOOKUP(A351,base_fiis_inv10!$A$1:$C$282,2,FALSE),"Não encontrado")</f>
        <v>Outro</v>
      </c>
      <c r="E351" s="6" t="str">
        <f>IFERROR(VLOOKUP(A351,base_fiis_inv10!$A$1:$C$282,3,FALSE),"Não encontrado")</f>
        <v>Títulos e Valores Mobiliários</v>
      </c>
    </row>
    <row r="352" spans="1:5" x14ac:dyDescent="0.3">
      <c r="A352" t="s">
        <v>2326</v>
      </c>
      <c r="B352" t="s">
        <v>2327</v>
      </c>
      <c r="C352" t="s">
        <v>2328</v>
      </c>
      <c r="D352" s="6" t="str">
        <f>IFERROR(VLOOKUP(A352,base_fiis_inv10!$A$1:$C$282,2,FALSE),"Não encontrado")</f>
        <v>Não encontrado</v>
      </c>
      <c r="E352" s="6" t="str">
        <f>IFERROR(VLOOKUP(A352,base_fiis_inv10!$A$1:$C$282,3,FALSE),"Não encontrado")</f>
        <v>Não encontrado</v>
      </c>
    </row>
    <row r="353" spans="1:5" x14ac:dyDescent="0.3">
      <c r="A353" t="s">
        <v>2329</v>
      </c>
      <c r="B353" t="s">
        <v>2330</v>
      </c>
      <c r="C353" t="s">
        <v>2331</v>
      </c>
      <c r="D353" s="6" t="str">
        <f>IFERROR(VLOOKUP(A353,base_fiis_inv10!$A$1:$C$282,2,FALSE),"Não encontrado")</f>
        <v>Fundo de Tijolo</v>
      </c>
      <c r="E353" s="6" t="str">
        <f>IFERROR(VLOOKUP(A353,base_fiis_inv10!$A$1:$C$282,3,FALSE),"Não encontrado")</f>
        <v>Logístico / Indústria / Galpões</v>
      </c>
    </row>
    <row r="354" spans="1:5" x14ac:dyDescent="0.3">
      <c r="A354" t="s">
        <v>2332</v>
      </c>
      <c r="B354" t="s">
        <v>2333</v>
      </c>
      <c r="C354" t="s">
        <v>2334</v>
      </c>
      <c r="D354" s="6" t="str">
        <f>IFERROR(VLOOKUP(A354,base_fiis_inv10!$A$1:$C$282,2,FALSE),"Não encontrado")</f>
        <v>Não encontrado</v>
      </c>
      <c r="E354" s="6" t="str">
        <f>IFERROR(VLOOKUP(A354,base_fiis_inv10!$A$1:$C$282,3,FALSE),"Não encontrado")</f>
        <v>Não encontrado</v>
      </c>
    </row>
    <row r="355" spans="1:5" x14ac:dyDescent="0.3">
      <c r="A355" t="s">
        <v>2335</v>
      </c>
      <c r="B355" t="s">
        <v>2336</v>
      </c>
      <c r="C355" t="s">
        <v>2337</v>
      </c>
      <c r="D355" s="6" t="str">
        <f>IFERROR(VLOOKUP(A355,base_fiis_inv10!$A$1:$C$282,2,FALSE),"Não encontrado")</f>
        <v>Fundo de desenvolvimento</v>
      </c>
      <c r="E355" s="6" t="str">
        <f>IFERROR(VLOOKUP(A355,base_fiis_inv10!$A$1:$C$282,3,FALSE),"Não encontrado")</f>
        <v>Híbrido</v>
      </c>
    </row>
    <row r="356" spans="1:5" x14ac:dyDescent="0.3">
      <c r="A356" t="s">
        <v>2338</v>
      </c>
      <c r="B356" t="s">
        <v>2339</v>
      </c>
      <c r="C356" t="s">
        <v>2340</v>
      </c>
      <c r="D356" s="6" t="str">
        <f>IFERROR(VLOOKUP(A356,base_fiis_inv10!$A$1:$C$282,2,FALSE),"Não encontrado")</f>
        <v>Fundo de Tijolo</v>
      </c>
      <c r="E356" s="6" t="str">
        <f>IFERROR(VLOOKUP(A356,base_fiis_inv10!$A$1:$C$282,3,FALSE),"Não encontrado")</f>
        <v>Híbrido</v>
      </c>
    </row>
    <row r="357" spans="1:5" x14ac:dyDescent="0.3">
      <c r="A357" t="s">
        <v>2341</v>
      </c>
      <c r="B357" t="s">
        <v>2342</v>
      </c>
      <c r="C357" t="s">
        <v>2343</v>
      </c>
      <c r="D357" s="6" t="str">
        <f>IFERROR(VLOOKUP(A357,base_fiis_inv10!$A$1:$C$282,2,FALSE),"Não encontrado")</f>
        <v>Não encontrado</v>
      </c>
      <c r="E357" s="6" t="str">
        <f>IFERROR(VLOOKUP(A357,base_fiis_inv10!$A$1:$C$282,3,FALSE),"Não encontrado")</f>
        <v>Não encontrado</v>
      </c>
    </row>
    <row r="358" spans="1:5" x14ac:dyDescent="0.3">
      <c r="A358" t="s">
        <v>2344</v>
      </c>
      <c r="B358" t="s">
        <v>2345</v>
      </c>
      <c r="C358" t="s">
        <v>2346</v>
      </c>
      <c r="D358" s="6" t="str">
        <f>IFERROR(VLOOKUP(A358,base_fiis_inv10!$A$1:$C$282,2,FALSE),"Não encontrado")</f>
        <v>Não encontrado</v>
      </c>
      <c r="E358" s="6" t="str">
        <f>IFERROR(VLOOKUP(A358,base_fiis_inv10!$A$1:$C$282,3,FALSE),"Não encontrado")</f>
        <v>Não encontrado</v>
      </c>
    </row>
    <row r="359" spans="1:5" x14ac:dyDescent="0.3">
      <c r="A359" t="s">
        <v>2347</v>
      </c>
      <c r="B359" t="s">
        <v>2348</v>
      </c>
      <c r="C359" t="s">
        <v>2349</v>
      </c>
      <c r="D359" s="6" t="str">
        <f>IFERROR(VLOOKUP(A359,base_fiis_inv10!$A$1:$C$282,2,FALSE),"Não encontrado")</f>
        <v>Fundo de Tijolo</v>
      </c>
      <c r="E359" s="6" t="str">
        <f>IFERROR(VLOOKUP(A359,base_fiis_inv10!$A$1:$C$282,3,FALSE),"Não encontrado")</f>
        <v>Agências bancárias</v>
      </c>
    </row>
    <row r="360" spans="1:5" x14ac:dyDescent="0.3">
      <c r="A360" t="s">
        <v>2350</v>
      </c>
      <c r="B360" t="s">
        <v>2351</v>
      </c>
      <c r="C360" t="s">
        <v>2352</v>
      </c>
      <c r="D360" s="6" t="str">
        <f>IFERROR(VLOOKUP(A360,base_fiis_inv10!$A$1:$C$282,2,FALSE),"Não encontrado")</f>
        <v>Não encontrado</v>
      </c>
      <c r="E360" s="6" t="str">
        <f>IFERROR(VLOOKUP(A360,base_fiis_inv10!$A$1:$C$282,3,FALSE),"Não encontrado")</f>
        <v>Não encontrado</v>
      </c>
    </row>
    <row r="361" spans="1:5" x14ac:dyDescent="0.3">
      <c r="A361" t="s">
        <v>2353</v>
      </c>
      <c r="B361" t="s">
        <v>2354</v>
      </c>
      <c r="C361" t="s">
        <v>2355</v>
      </c>
      <c r="D361" s="6" t="str">
        <f>IFERROR(VLOOKUP(A361,base_fiis_inv10!$A$1:$C$282,2,FALSE),"Não encontrado")</f>
        <v>Fundo de papel</v>
      </c>
      <c r="E361" s="6" t="str">
        <f>IFERROR(VLOOKUP(A361,base_fiis_inv10!$A$1:$C$282,3,FALSE),"Não encontrado")</f>
        <v>Outros</v>
      </c>
    </row>
    <row r="362" spans="1:5" x14ac:dyDescent="0.3">
      <c r="A362" t="s">
        <v>2356</v>
      </c>
      <c r="B362" t="s">
        <v>2357</v>
      </c>
      <c r="C362" t="s">
        <v>2358</v>
      </c>
      <c r="D362" s="6" t="str">
        <f>IFERROR(VLOOKUP(A362,base_fiis_inv10!$A$1:$C$282,2,FALSE),"Não encontrado")</f>
        <v>Fundo de papel</v>
      </c>
      <c r="E362" s="6" t="str">
        <f>IFERROR(VLOOKUP(A362,base_fiis_inv10!$A$1:$C$282,3,FALSE),"Não encontrado")</f>
        <v>Títulos e Valores Mobiliários</v>
      </c>
    </row>
    <row r="363" spans="1:5" x14ac:dyDescent="0.3">
      <c r="A363" t="s">
        <v>2359</v>
      </c>
      <c r="B363" t="s">
        <v>2360</v>
      </c>
      <c r="C363" t="s">
        <v>2361</v>
      </c>
      <c r="D363" s="6" t="str">
        <f>IFERROR(VLOOKUP(A363,base_fiis_inv10!$A$1:$C$282,2,FALSE),"Não encontrado")</f>
        <v>Fundo de papel</v>
      </c>
      <c r="E363" s="6" t="str">
        <f>IFERROR(VLOOKUP(A363,base_fiis_inv10!$A$1:$C$282,3,FALSE),"Não encontrado")</f>
        <v>Títulos e Valores Mobiliários</v>
      </c>
    </row>
    <row r="364" spans="1:5" x14ac:dyDescent="0.3">
      <c r="A364" t="s">
        <v>2362</v>
      </c>
      <c r="B364" t="s">
        <v>2363</v>
      </c>
      <c r="C364" t="s">
        <v>2364</v>
      </c>
      <c r="D364" s="6" t="str">
        <f>IFERROR(VLOOKUP(A364,base_fiis_inv10!$A$1:$C$282,2,FALSE),"Não encontrado")</f>
        <v>Fundo de Tijolo</v>
      </c>
      <c r="E364" s="6" t="str">
        <f>IFERROR(VLOOKUP(A364,base_fiis_inv10!$A$1:$C$282,3,FALSE),"Não encontrado")</f>
        <v>Outros</v>
      </c>
    </row>
    <row r="365" spans="1:5" x14ac:dyDescent="0.3">
      <c r="A365" t="s">
        <v>2365</v>
      </c>
      <c r="B365" t="s">
        <v>2366</v>
      </c>
      <c r="C365" t="s">
        <v>2367</v>
      </c>
      <c r="D365" s="6" t="str">
        <f>IFERROR(VLOOKUP(A365,base_fiis_inv10!$A$1:$C$282,2,FALSE),"Não encontrado")</f>
        <v>Não encontrado</v>
      </c>
      <c r="E365" s="6" t="str">
        <f>IFERROR(VLOOKUP(A365,base_fiis_inv10!$A$1:$C$282,3,FALSE),"Não encontrado")</f>
        <v>Não encontrado</v>
      </c>
    </row>
    <row r="366" spans="1:5" x14ac:dyDescent="0.3">
      <c r="A366" t="s">
        <v>2368</v>
      </c>
      <c r="B366" t="s">
        <v>2369</v>
      </c>
      <c r="C366" t="s">
        <v>2370</v>
      </c>
      <c r="D366" s="6" t="str">
        <f>IFERROR(VLOOKUP(A366,base_fiis_inv10!$A$1:$C$282,2,FALSE),"Não encontrado")</f>
        <v>Fundo de papel</v>
      </c>
      <c r="E366" s="6" t="str">
        <f>IFERROR(VLOOKUP(A366,base_fiis_inv10!$A$1:$C$282,3,FALSE),"Não encontrado")</f>
        <v>Híbrido</v>
      </c>
    </row>
    <row r="367" spans="1:5" x14ac:dyDescent="0.3">
      <c r="A367" t="s">
        <v>2371</v>
      </c>
      <c r="B367" t="s">
        <v>2372</v>
      </c>
      <c r="C367" t="s">
        <v>2373</v>
      </c>
      <c r="D367" s="6" t="str">
        <f>IFERROR(VLOOKUP(A367,base_fiis_inv10!$A$1:$C$282,2,FALSE),"Não encontrado")</f>
        <v>Não encontrado</v>
      </c>
      <c r="E367" s="6" t="str">
        <f>IFERROR(VLOOKUP(A367,base_fiis_inv10!$A$1:$C$282,3,FALSE),"Não encontrado")</f>
        <v>Não encontrado</v>
      </c>
    </row>
    <row r="368" spans="1:5" x14ac:dyDescent="0.3">
      <c r="A368" t="s">
        <v>2374</v>
      </c>
      <c r="B368" t="s">
        <v>2375</v>
      </c>
      <c r="C368" t="s">
        <v>2376</v>
      </c>
      <c r="D368" s="6" t="str">
        <f>IFERROR(VLOOKUP(A368,base_fiis_inv10!$A$1:$C$282,2,FALSE),"Não encontrado")</f>
        <v>Fundo de papel</v>
      </c>
      <c r="E368" s="6" t="str">
        <f>IFERROR(VLOOKUP(A368,base_fiis_inv10!$A$1:$C$282,3,FALSE),"Não encontrado")</f>
        <v>Títulos e Valores Mobiliários</v>
      </c>
    </row>
    <row r="369" spans="1:5" x14ac:dyDescent="0.3">
      <c r="A369" t="s">
        <v>2377</v>
      </c>
      <c r="B369" t="s">
        <v>2378</v>
      </c>
      <c r="C369" t="s">
        <v>2379</v>
      </c>
      <c r="D369" s="6" t="str">
        <f>IFERROR(VLOOKUP(A369,base_fiis_inv10!$A$1:$C$282,2,FALSE),"Não encontrado")</f>
        <v>Fundo de papel</v>
      </c>
      <c r="E369" s="6" t="str">
        <f>IFERROR(VLOOKUP(A369,base_fiis_inv10!$A$1:$C$282,3,FALSE),"Não encontrado")</f>
        <v>Títulos e Valores Mobiliários</v>
      </c>
    </row>
    <row r="370" spans="1:5" x14ac:dyDescent="0.3">
      <c r="A370" t="s">
        <v>2380</v>
      </c>
      <c r="B370" t="s">
        <v>2381</v>
      </c>
      <c r="C370" t="s">
        <v>2382</v>
      </c>
      <c r="D370" s="6" t="str">
        <f>IFERROR(VLOOKUP(A370,base_fiis_inv10!$A$1:$C$282,2,FALSE),"Não encontrado")</f>
        <v>Fundo de Tijolo</v>
      </c>
      <c r="E370" s="6" t="str">
        <f>IFERROR(VLOOKUP(A370,base_fiis_inv10!$A$1:$C$282,3,FALSE),"Não encontrado")</f>
        <v>Híbrido</v>
      </c>
    </row>
    <row r="371" spans="1:5" x14ac:dyDescent="0.3">
      <c r="A371" t="s">
        <v>2383</v>
      </c>
      <c r="B371" t="s">
        <v>2384</v>
      </c>
      <c r="C371" t="s">
        <v>2385</v>
      </c>
      <c r="D371" s="6" t="str">
        <f>IFERROR(VLOOKUP(A371,base_fiis_inv10!$A$1:$C$282,2,FALSE),"Não encontrado")</f>
        <v>Não encontrado</v>
      </c>
      <c r="E371" s="6" t="str">
        <f>IFERROR(VLOOKUP(A371,base_fiis_inv10!$A$1:$C$282,3,FALSE),"Não encontrado")</f>
        <v>Não encontrado</v>
      </c>
    </row>
    <row r="372" spans="1:5" x14ac:dyDescent="0.3">
      <c r="A372" t="s">
        <v>2386</v>
      </c>
      <c r="B372" t="s">
        <v>2387</v>
      </c>
      <c r="C372" t="s">
        <v>2388</v>
      </c>
      <c r="D372" s="6" t="str">
        <f>IFERROR(VLOOKUP(A372,base_fiis_inv10!$A$1:$C$282,2,FALSE),"Não encontrado")</f>
        <v>Fundo de Tijolo</v>
      </c>
      <c r="E372" s="6" t="str">
        <f>IFERROR(VLOOKUP(A372,base_fiis_inv10!$A$1:$C$282,3,FALSE),"Não encontrado")</f>
        <v>Logístico / Indústria / Galpões</v>
      </c>
    </row>
    <row r="373" spans="1:5" x14ac:dyDescent="0.3">
      <c r="A373" t="s">
        <v>2389</v>
      </c>
      <c r="B373" t="s">
        <v>2390</v>
      </c>
      <c r="C373" t="s">
        <v>2391</v>
      </c>
      <c r="D373" s="6" t="str">
        <f>IFERROR(VLOOKUP(A373,base_fiis_inv10!$A$1:$C$282,2,FALSE),"Não encontrado")</f>
        <v>Fundo de Tijolo</v>
      </c>
      <c r="E373" s="6" t="str">
        <f>IFERROR(VLOOKUP(A373,base_fiis_inv10!$A$1:$C$282,3,FALSE),"Não encontrado")</f>
        <v>Lajes Corporativas</v>
      </c>
    </row>
    <row r="374" spans="1:5" x14ac:dyDescent="0.3">
      <c r="A374" t="s">
        <v>2392</v>
      </c>
      <c r="B374" t="s">
        <v>2393</v>
      </c>
      <c r="C374" t="s">
        <v>2394</v>
      </c>
      <c r="D374" s="6" t="str">
        <f>IFERROR(VLOOKUP(A374,base_fiis_inv10!$A$1:$C$282,2,FALSE),"Não encontrado")</f>
        <v>Fundo de Tijolo</v>
      </c>
      <c r="E374" s="6" t="str">
        <f>IFERROR(VLOOKUP(A374,base_fiis_inv10!$A$1:$C$282,3,FALSE),"Não encontrado")</f>
        <v>Shoppings / Varejo</v>
      </c>
    </row>
    <row r="375" spans="1:5" x14ac:dyDescent="0.3">
      <c r="A375" t="s">
        <v>2395</v>
      </c>
      <c r="B375" t="s">
        <v>2396</v>
      </c>
      <c r="C375" t="s">
        <v>2397</v>
      </c>
      <c r="D375" s="6" t="str">
        <f>IFERROR(VLOOKUP(A375,base_fiis_inv10!$A$1:$C$282,2,FALSE),"Não encontrado")</f>
        <v>Fundo misto</v>
      </c>
      <c r="E375" s="6" t="str">
        <f>IFERROR(VLOOKUP(A375,base_fiis_inv10!$A$1:$C$282,3,FALSE),"Não encontrado")</f>
        <v>Outros</v>
      </c>
    </row>
    <row r="376" spans="1:5" x14ac:dyDescent="0.3">
      <c r="A376" t="s">
        <v>2398</v>
      </c>
      <c r="B376" t="s">
        <v>2399</v>
      </c>
      <c r="C376" t="s">
        <v>2400</v>
      </c>
      <c r="D376" s="6" t="str">
        <f>IFERROR(VLOOKUP(A376,base_fiis_inv10!$A$1:$C$282,2,FALSE),"Não encontrado")</f>
        <v>Não encontrado</v>
      </c>
      <c r="E376" s="6" t="str">
        <f>IFERROR(VLOOKUP(A376,base_fiis_inv10!$A$1:$C$282,3,FALSE),"Não encontrado")</f>
        <v>Não encontrado</v>
      </c>
    </row>
    <row r="377" spans="1:5" x14ac:dyDescent="0.3">
      <c r="A377" t="s">
        <v>2401</v>
      </c>
      <c r="B377" t="s">
        <v>2402</v>
      </c>
      <c r="C377" t="s">
        <v>2403</v>
      </c>
      <c r="D377" s="6" t="str">
        <f>IFERROR(VLOOKUP(A377,base_fiis_inv10!$A$1:$C$282,2,FALSE),"Não encontrado")</f>
        <v>Não encontrado</v>
      </c>
      <c r="E377" s="6" t="str">
        <f>IFERROR(VLOOKUP(A377,base_fiis_inv10!$A$1:$C$282,3,FALSE),"Não encontrado")</f>
        <v>Não encontrado</v>
      </c>
    </row>
    <row r="378" spans="1:5" x14ac:dyDescent="0.3">
      <c r="A378" t="s">
        <v>2404</v>
      </c>
      <c r="B378" t="s">
        <v>2405</v>
      </c>
      <c r="C378" t="s">
        <v>2406</v>
      </c>
      <c r="D378" s="6" t="str">
        <f>IFERROR(VLOOKUP(A378,base_fiis_inv10!$A$1:$C$282,2,FALSE),"Não encontrado")</f>
        <v>Fundo de papel</v>
      </c>
      <c r="E378" s="6" t="str">
        <f>IFERROR(VLOOKUP(A378,base_fiis_inv10!$A$1:$C$282,3,FALSE),"Não encontrado")</f>
        <v>Títulos e Valores Mobiliários</v>
      </c>
    </row>
    <row r="379" spans="1:5" x14ac:dyDescent="0.3">
      <c r="A379" t="s">
        <v>2407</v>
      </c>
      <c r="B379" t="s">
        <v>2408</v>
      </c>
      <c r="C379" t="s">
        <v>2409</v>
      </c>
      <c r="D379" s="6" t="str">
        <f>IFERROR(VLOOKUP(A379,base_fiis_inv10!$A$1:$C$282,2,FALSE),"Não encontrado")</f>
        <v>Outro</v>
      </c>
      <c r="E379" s="6" t="str">
        <f>IFERROR(VLOOKUP(A379,base_fiis_inv10!$A$1:$C$282,3,FALSE),"Não encontrado")</f>
        <v>Híbrido</v>
      </c>
    </row>
    <row r="380" spans="1:5" x14ac:dyDescent="0.3">
      <c r="A380" t="s">
        <v>2410</v>
      </c>
      <c r="B380" t="s">
        <v>2411</v>
      </c>
      <c r="C380" t="s">
        <v>2412</v>
      </c>
      <c r="D380" s="6" t="str">
        <f>IFERROR(VLOOKUP(A380,base_fiis_inv10!$A$1:$C$282,2,FALSE),"Não encontrado")</f>
        <v>Não encontrado</v>
      </c>
      <c r="E380" s="6" t="str">
        <f>IFERROR(VLOOKUP(A380,base_fiis_inv10!$A$1:$C$282,3,FALSE),"Não encontrado")</f>
        <v>Não encontrado</v>
      </c>
    </row>
    <row r="381" spans="1:5" x14ac:dyDescent="0.3">
      <c r="A381" t="s">
        <v>2413</v>
      </c>
      <c r="B381" t="s">
        <v>2414</v>
      </c>
      <c r="C381" t="s">
        <v>2415</v>
      </c>
      <c r="D381" s="6" t="str">
        <f>IFERROR(VLOOKUP(A381,base_fiis_inv10!$A$1:$C$282,2,FALSE),"Não encontrado")</f>
        <v>Fundo de papel</v>
      </c>
      <c r="E381" s="6" t="str">
        <f>IFERROR(VLOOKUP(A381,base_fiis_inv10!$A$1:$C$282,3,FALSE),"Não encontrado")</f>
        <v>Outros</v>
      </c>
    </row>
    <row r="382" spans="1:5" x14ac:dyDescent="0.3">
      <c r="A382" t="s">
        <v>2416</v>
      </c>
      <c r="B382" t="s">
        <v>2417</v>
      </c>
      <c r="C382" t="s">
        <v>2418</v>
      </c>
      <c r="D382" s="6" t="str">
        <f>IFERROR(VLOOKUP(A382,base_fiis_inv10!$A$1:$C$282,2,FALSE),"Não encontrado")</f>
        <v>Fundo de Tijolo</v>
      </c>
      <c r="E382" s="6" t="str">
        <f>IFERROR(VLOOKUP(A382,base_fiis_inv10!$A$1:$C$282,3,FALSE),"Não encontrado")</f>
        <v>Logístico / Indústria / Galpões</v>
      </c>
    </row>
    <row r="383" spans="1:5" x14ac:dyDescent="0.3">
      <c r="A383" t="s">
        <v>2419</v>
      </c>
      <c r="B383" t="s">
        <v>2420</v>
      </c>
      <c r="C383" t="s">
        <v>2421</v>
      </c>
      <c r="D383" s="6" t="str">
        <f>IFERROR(VLOOKUP(A383,base_fiis_inv10!$A$1:$C$282,2,FALSE),"Não encontrado")</f>
        <v>Não encontrado</v>
      </c>
      <c r="E383" s="6" t="str">
        <f>IFERROR(VLOOKUP(A383,base_fiis_inv10!$A$1:$C$282,3,FALSE),"Não encontrado")</f>
        <v>Não encontrado</v>
      </c>
    </row>
    <row r="384" spans="1:5" x14ac:dyDescent="0.3">
      <c r="A384" t="s">
        <v>2422</v>
      </c>
      <c r="B384" t="s">
        <v>2423</v>
      </c>
      <c r="C384" t="s">
        <v>2424</v>
      </c>
      <c r="D384" s="6" t="str">
        <f>IFERROR(VLOOKUP(A384,base_fiis_inv10!$A$1:$C$282,2,FALSE),"Não encontrado")</f>
        <v>Fundo de Tijolo</v>
      </c>
      <c r="E384" s="6" t="str">
        <f>IFERROR(VLOOKUP(A384,base_fiis_inv10!$A$1:$C$282,3,FALSE),"Não encontrado")</f>
        <v>Lajes Corporativas</v>
      </c>
    </row>
    <row r="385" spans="1:5" x14ac:dyDescent="0.3">
      <c r="A385" t="s">
        <v>2425</v>
      </c>
      <c r="B385" t="s">
        <v>2426</v>
      </c>
      <c r="C385" t="s">
        <v>2427</v>
      </c>
      <c r="D385" s="6" t="str">
        <f>IFERROR(VLOOKUP(A385,base_fiis_inv10!$A$1:$C$282,2,FALSE),"Não encontrado")</f>
        <v>Não encontrado</v>
      </c>
      <c r="E385" s="6" t="str">
        <f>IFERROR(VLOOKUP(A385,base_fiis_inv10!$A$1:$C$282,3,FALSE),"Não encontrado")</f>
        <v>Não encontrado</v>
      </c>
    </row>
    <row r="386" spans="1:5" x14ac:dyDescent="0.3">
      <c r="A386" t="s">
        <v>2428</v>
      </c>
      <c r="B386" t="s">
        <v>1716</v>
      </c>
      <c r="C386" t="s">
        <v>1717</v>
      </c>
      <c r="D386" s="6" t="str">
        <f>IFERROR(VLOOKUP(A386,base_fiis_inv10!$A$1:$C$282,2,FALSE),"Não encontrado")</f>
        <v>Fundo misto</v>
      </c>
      <c r="E386" s="6" t="str">
        <f>IFERROR(VLOOKUP(A386,base_fiis_inv10!$A$1:$C$282,3,FALSE),"Não encontrado")</f>
        <v>Híbrido</v>
      </c>
    </row>
    <row r="387" spans="1:5" x14ac:dyDescent="0.3">
      <c r="A387" t="s">
        <v>2429</v>
      </c>
      <c r="B387" t="s">
        <v>2430</v>
      </c>
      <c r="C387" t="s">
        <v>2431</v>
      </c>
      <c r="D387" s="6" t="str">
        <f>IFERROR(VLOOKUP(A387,base_fiis_inv10!$A$1:$C$282,2,FALSE),"Não encontrado")</f>
        <v>Não encontrado</v>
      </c>
      <c r="E387" s="6" t="str">
        <f>IFERROR(VLOOKUP(A387,base_fiis_inv10!$A$1:$C$282,3,FALSE),"Não encontrado")</f>
        <v>Não encontrado</v>
      </c>
    </row>
    <row r="388" spans="1:5" x14ac:dyDescent="0.3">
      <c r="A388" t="s">
        <v>2432</v>
      </c>
      <c r="B388" t="s">
        <v>2433</v>
      </c>
      <c r="C388" t="s">
        <v>2434</v>
      </c>
      <c r="D388" s="6" t="str">
        <f>IFERROR(VLOOKUP(A388,base_fiis_inv10!$A$1:$C$282,2,FALSE),"Não encontrado")</f>
        <v>Não encontrado</v>
      </c>
      <c r="E388" s="6" t="str">
        <f>IFERROR(VLOOKUP(A388,base_fiis_inv10!$A$1:$C$282,3,FALSE),"Não encontrado")</f>
        <v>Não encontrado</v>
      </c>
    </row>
    <row r="389" spans="1:5" x14ac:dyDescent="0.3">
      <c r="A389" t="s">
        <v>2435</v>
      </c>
      <c r="B389" t="s">
        <v>2436</v>
      </c>
      <c r="C389" t="s">
        <v>2437</v>
      </c>
      <c r="D389" s="6" t="str">
        <f>IFERROR(VLOOKUP(A389,base_fiis_inv10!$A$1:$C$282,2,FALSE),"Não encontrado")</f>
        <v>Fundo misto</v>
      </c>
      <c r="E389" s="6" t="str">
        <f>IFERROR(VLOOKUP(A389,base_fiis_inv10!$A$1:$C$282,3,FALSE),"Não encontrado")</f>
        <v>Híbrido</v>
      </c>
    </row>
    <row r="390" spans="1:5" x14ac:dyDescent="0.3">
      <c r="A390" t="s">
        <v>2438</v>
      </c>
      <c r="B390" t="s">
        <v>2439</v>
      </c>
      <c r="C390" t="s">
        <v>2440</v>
      </c>
      <c r="D390" s="6" t="str">
        <f>IFERROR(VLOOKUP(A390,base_fiis_inv10!$A$1:$C$282,2,FALSE),"Não encontrado")</f>
        <v>Não encontrado</v>
      </c>
      <c r="E390" s="6" t="str">
        <f>IFERROR(VLOOKUP(A390,base_fiis_inv10!$A$1:$C$282,3,FALSE),"Não encontrado")</f>
        <v>Não encontrado</v>
      </c>
    </row>
    <row r="391" spans="1:5" x14ac:dyDescent="0.3">
      <c r="A391" t="s">
        <v>2441</v>
      </c>
      <c r="B391" t="s">
        <v>2442</v>
      </c>
      <c r="C391" t="s">
        <v>2443</v>
      </c>
      <c r="D391" s="6" t="str">
        <f>IFERROR(VLOOKUP(A391,base_fiis_inv10!$A$1:$C$282,2,FALSE),"Não encontrado")</f>
        <v>Não encontrado</v>
      </c>
      <c r="E391" s="6" t="str">
        <f>IFERROR(VLOOKUP(A391,base_fiis_inv10!$A$1:$C$282,3,FALSE),"Não encontrado")</f>
        <v>Não encontrado</v>
      </c>
    </row>
    <row r="392" spans="1:5" x14ac:dyDescent="0.3">
      <c r="A392" t="s">
        <v>2444</v>
      </c>
      <c r="B392" t="s">
        <v>2445</v>
      </c>
      <c r="C392" t="s">
        <v>2446</v>
      </c>
      <c r="D392" s="6" t="str">
        <f>IFERROR(VLOOKUP(A392,base_fiis_inv10!$A$1:$C$282,2,FALSE),"Não encontrado")</f>
        <v>Não encontrado</v>
      </c>
      <c r="E392" s="6" t="str">
        <f>IFERROR(VLOOKUP(A392,base_fiis_inv10!$A$1:$C$282,3,FALSE),"Não encontrado")</f>
        <v>Não encontrado</v>
      </c>
    </row>
    <row r="393" spans="1:5" x14ac:dyDescent="0.3">
      <c r="A393" t="s">
        <v>2447</v>
      </c>
      <c r="B393" t="s">
        <v>2448</v>
      </c>
      <c r="C393" t="s">
        <v>2449</v>
      </c>
      <c r="D393" s="6" t="str">
        <f>IFERROR(VLOOKUP(A393,base_fiis_inv10!$A$1:$C$282,2,FALSE),"Não encontrado")</f>
        <v>Fundo de papel</v>
      </c>
      <c r="E393" s="6" t="str">
        <f>IFERROR(VLOOKUP(A393,base_fiis_inv10!$A$1:$C$282,3,FALSE),"Não encontrado")</f>
        <v>Títulos e Valores Mobiliários</v>
      </c>
    </row>
    <row r="394" spans="1:5" x14ac:dyDescent="0.3">
      <c r="A394" t="s">
        <v>2450</v>
      </c>
      <c r="B394" t="s">
        <v>2451</v>
      </c>
      <c r="C394" t="s">
        <v>2452</v>
      </c>
      <c r="D394" s="6" t="str">
        <f>IFERROR(VLOOKUP(A394,base_fiis_inv10!$A$1:$C$282,2,FALSE),"Não encontrado")</f>
        <v>Não encontrado</v>
      </c>
      <c r="E394" s="6" t="str">
        <f>IFERROR(VLOOKUP(A394,base_fiis_inv10!$A$1:$C$282,3,FALSE),"Não encontrado")</f>
        <v>Não encontrado</v>
      </c>
    </row>
    <row r="395" spans="1:5" x14ac:dyDescent="0.3">
      <c r="A395" t="s">
        <v>2453</v>
      </c>
      <c r="B395" t="s">
        <v>2454</v>
      </c>
      <c r="C395" t="s">
        <v>2455</v>
      </c>
      <c r="D395" s="6" t="str">
        <f>IFERROR(VLOOKUP(A395,base_fiis_inv10!$A$1:$C$282,2,FALSE),"Não encontrado")</f>
        <v>Fundo de Tijolo</v>
      </c>
      <c r="E395" s="6" t="str">
        <f>IFERROR(VLOOKUP(A395,base_fiis_inv10!$A$1:$C$282,3,FALSE),"Não encontrado")</f>
        <v>Outros</v>
      </c>
    </row>
    <row r="396" spans="1:5" x14ac:dyDescent="0.3">
      <c r="A396" t="s">
        <v>2456</v>
      </c>
      <c r="B396" t="s">
        <v>2457</v>
      </c>
      <c r="C396" t="s">
        <v>2458</v>
      </c>
      <c r="D396" s="6" t="str">
        <f>IFERROR(VLOOKUP(A396,base_fiis_inv10!$A$1:$C$282,2,FALSE),"Não encontrado")</f>
        <v>Fundo de Tijolo</v>
      </c>
      <c r="E396" s="6" t="str">
        <f>IFERROR(VLOOKUP(A396,base_fiis_inv10!$A$1:$C$282,3,FALSE),"Não encontrado")</f>
        <v>Logístico / Indústria / Galpões</v>
      </c>
    </row>
    <row r="397" spans="1:5" x14ac:dyDescent="0.3">
      <c r="A397" t="s">
        <v>2459</v>
      </c>
      <c r="B397" t="s">
        <v>2460</v>
      </c>
      <c r="C397" t="s">
        <v>2461</v>
      </c>
      <c r="D397" s="6" t="str">
        <f>IFERROR(VLOOKUP(A397,base_fiis_inv10!$A$1:$C$282,2,FALSE),"Não encontrado")</f>
        <v>Fundo de Tijolo</v>
      </c>
      <c r="E397" s="6" t="str">
        <f>IFERROR(VLOOKUP(A397,base_fiis_inv10!$A$1:$C$282,3,FALSE),"Não encontrado")</f>
        <v>Shoppings / Varejo</v>
      </c>
    </row>
    <row r="398" spans="1:5" x14ac:dyDescent="0.3">
      <c r="A398" t="s">
        <v>2462</v>
      </c>
      <c r="B398" t="s">
        <v>2463</v>
      </c>
      <c r="C398" t="s">
        <v>2464</v>
      </c>
      <c r="D398" s="6" t="str">
        <f>IFERROR(VLOOKUP(A398,base_fiis_inv10!$A$1:$C$282,2,FALSE),"Não encontrado")</f>
        <v>Não encontrado</v>
      </c>
      <c r="E398" s="6" t="str">
        <f>IFERROR(VLOOKUP(A398,base_fiis_inv10!$A$1:$C$282,3,FALSE),"Não encontrado")</f>
        <v>Não encontrado</v>
      </c>
    </row>
    <row r="399" spans="1:5" x14ac:dyDescent="0.3">
      <c r="A399" t="s">
        <v>2465</v>
      </c>
      <c r="B399" t="s">
        <v>2466</v>
      </c>
      <c r="C399" t="s">
        <v>2467</v>
      </c>
      <c r="D399" s="6" t="str">
        <f>IFERROR(VLOOKUP(A399,base_fiis_inv10!$A$1:$C$282,2,FALSE),"Não encontrado")</f>
        <v>Fundo de fundos</v>
      </c>
      <c r="E399" s="6" t="str">
        <f>IFERROR(VLOOKUP(A399,base_fiis_inv10!$A$1:$C$282,3,FALSE),"Não encontrado")</f>
        <v>Títulos e Valores Mobiliários</v>
      </c>
    </row>
    <row r="400" spans="1:5" x14ac:dyDescent="0.3">
      <c r="A400" t="s">
        <v>2468</v>
      </c>
      <c r="B400" t="s">
        <v>2469</v>
      </c>
      <c r="C400" t="s">
        <v>2470</v>
      </c>
      <c r="D400" s="6" t="str">
        <f>IFERROR(VLOOKUP(A400,base_fiis_inv10!$A$1:$C$282,2,FALSE),"Não encontrado")</f>
        <v>Não encontrado</v>
      </c>
      <c r="E400" s="6" t="str">
        <f>IFERROR(VLOOKUP(A400,base_fiis_inv10!$A$1:$C$282,3,FALSE),"Não encontrado")</f>
        <v>Não encontrado</v>
      </c>
    </row>
    <row r="401" spans="1:5" x14ac:dyDescent="0.3">
      <c r="A401" t="s">
        <v>2471</v>
      </c>
      <c r="B401" t="s">
        <v>2472</v>
      </c>
      <c r="C401" t="s">
        <v>2473</v>
      </c>
      <c r="D401" s="6" t="str">
        <f>IFERROR(VLOOKUP(A401,base_fiis_inv10!$A$1:$C$282,2,FALSE),"Não encontrado")</f>
        <v>Não encontrado</v>
      </c>
      <c r="E401" s="6" t="str">
        <f>IFERROR(VLOOKUP(A401,base_fiis_inv10!$A$1:$C$282,3,FALSE),"Não encontrado")</f>
        <v>Não encontrado</v>
      </c>
    </row>
    <row r="402" spans="1:5" x14ac:dyDescent="0.3">
      <c r="A402" t="s">
        <v>2474</v>
      </c>
      <c r="B402" t="s">
        <v>2475</v>
      </c>
      <c r="C402" t="s">
        <v>2476</v>
      </c>
      <c r="D402" s="6" t="str">
        <f>IFERROR(VLOOKUP(A402,base_fiis_inv10!$A$1:$C$282,2,FALSE),"Não encontrado")</f>
        <v>Não encontrado</v>
      </c>
      <c r="E402" s="6" t="str">
        <f>IFERROR(VLOOKUP(A402,base_fiis_inv10!$A$1:$C$282,3,FALSE),"Não encontrado")</f>
        <v>Não encontrado</v>
      </c>
    </row>
    <row r="403" spans="1:5" x14ac:dyDescent="0.3">
      <c r="A403" t="s">
        <v>2477</v>
      </c>
      <c r="B403" t="s">
        <v>2478</v>
      </c>
      <c r="C403" t="s">
        <v>2479</v>
      </c>
      <c r="D403" s="6" t="str">
        <f>IFERROR(VLOOKUP(A403,base_fiis_inv10!$A$1:$C$282,2,FALSE),"Não encontrado")</f>
        <v>Não encontrado</v>
      </c>
      <c r="E403" s="6" t="str">
        <f>IFERROR(VLOOKUP(A403,base_fiis_inv10!$A$1:$C$282,3,FALSE),"Não encontrado")</f>
        <v>Não encontrado</v>
      </c>
    </row>
    <row r="404" spans="1:5" x14ac:dyDescent="0.3">
      <c r="A404" t="s">
        <v>2480</v>
      </c>
      <c r="B404" t="s">
        <v>2481</v>
      </c>
      <c r="C404" t="s">
        <v>2482</v>
      </c>
      <c r="D404" s="6" t="str">
        <f>IFERROR(VLOOKUP(A404,base_fiis_inv10!$A$1:$C$282,2,FALSE),"Não encontrado")</f>
        <v>Não encontrado</v>
      </c>
      <c r="E404" s="6" t="str">
        <f>IFERROR(VLOOKUP(A404,base_fiis_inv10!$A$1:$C$282,3,FALSE),"Não encontrado")</f>
        <v>Não encontrado</v>
      </c>
    </row>
    <row r="405" spans="1:5" x14ac:dyDescent="0.3">
      <c r="A405" t="s">
        <v>2483</v>
      </c>
      <c r="B405" t="s">
        <v>2484</v>
      </c>
      <c r="C405" t="s">
        <v>2485</v>
      </c>
      <c r="D405" s="6" t="str">
        <f>IFERROR(VLOOKUP(A405,base_fiis_inv10!$A$1:$C$282,2,FALSE),"Não encontrado")</f>
        <v>Não encontrado</v>
      </c>
      <c r="E405" s="6" t="str">
        <f>IFERROR(VLOOKUP(A405,base_fiis_inv10!$A$1:$C$282,3,FALSE),"Não encontrado")</f>
        <v>Não encontrado</v>
      </c>
    </row>
  </sheetData>
  <autoFilter ref="A1:E405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B10" sqref="B10"/>
    </sheetView>
  </sheetViews>
  <sheetFormatPr defaultRowHeight="14.4" x14ac:dyDescent="0.3"/>
  <cols>
    <col min="1" max="1" width="8.21875" bestFit="1" customWidth="1"/>
    <col min="2" max="2" width="51.109375" bestFit="1" customWidth="1"/>
    <col min="3" max="3" width="17.77734375" bestFit="1" customWidth="1"/>
    <col min="4" max="5" width="21.33203125" customWidth="1"/>
    <col min="6" max="6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2707</v>
      </c>
      <c r="E1" s="1" t="s">
        <v>2751</v>
      </c>
      <c r="F1" s="1" t="s">
        <v>3</v>
      </c>
    </row>
    <row r="2" spans="1:6" x14ac:dyDescent="0.3">
      <c r="A2" t="s">
        <v>2486</v>
      </c>
      <c r="B2" t="s">
        <v>2487</v>
      </c>
      <c r="C2" t="s">
        <v>2488</v>
      </c>
      <c r="D2" s="6" t="str">
        <f>IFERROR(VLOOKUP(A2,base_fiis_inv10!$A$1:$C$282,2,FALSE),"Não encontrado")</f>
        <v>Não encontrado</v>
      </c>
      <c r="E2" s="6" t="str">
        <f>IFERROR(VLOOKUP(A2,base_fiis_inv10!$A$1:$C$282,3,FALSE),"Não encontrado")</f>
        <v>Não encontrado</v>
      </c>
      <c r="F2" s="7" t="s">
        <v>2752</v>
      </c>
    </row>
    <row r="3" spans="1:6" x14ac:dyDescent="0.3">
      <c r="A3" t="s">
        <v>2489</v>
      </c>
      <c r="B3" t="s">
        <v>2490</v>
      </c>
      <c r="C3" t="s">
        <v>2491</v>
      </c>
      <c r="D3" s="6" t="str">
        <f>IFERROR(VLOOKUP(A3,base_fiis_inv10!$A$1:$C$282,2,FALSE),"Não encontrado")</f>
        <v>Outro</v>
      </c>
      <c r="E3" s="6" t="str">
        <f>IFERROR(VLOOKUP(A3,base_fiis_inv10!$A$1:$C$282,3,FALSE),"Não encontrado")</f>
        <v>Fiagros</v>
      </c>
      <c r="F3" s="7" t="s">
        <v>2752</v>
      </c>
    </row>
    <row r="4" spans="1:6" x14ac:dyDescent="0.3">
      <c r="A4" t="s">
        <v>2492</v>
      </c>
      <c r="B4" t="s">
        <v>2493</v>
      </c>
      <c r="C4" t="s">
        <v>2494</v>
      </c>
      <c r="D4" s="6" t="str">
        <f>IFERROR(VLOOKUP(A4,base_fiis_inv10!$A$1:$C$282,2,FALSE),"Não encontrado")</f>
        <v>Outro</v>
      </c>
      <c r="E4" s="6" t="str">
        <f>IFERROR(VLOOKUP(A4,base_fiis_inv10!$A$1:$C$282,3,FALSE),"Não encontrado")</f>
        <v>Fiagros</v>
      </c>
      <c r="F4" s="7" t="s">
        <v>2752</v>
      </c>
    </row>
    <row r="5" spans="1:6" x14ac:dyDescent="0.3">
      <c r="A5" t="s">
        <v>2495</v>
      </c>
      <c r="B5" t="s">
        <v>2496</v>
      </c>
      <c r="C5" t="s">
        <v>2497</v>
      </c>
      <c r="D5" s="6" t="str">
        <f>IFERROR(VLOOKUP(A5,base_fiis_inv10!$A$1:$C$282,2,FALSE),"Não encontrado")</f>
        <v>Não encontrado</v>
      </c>
      <c r="E5" s="6" t="str">
        <f>IFERROR(VLOOKUP(A5,base_fiis_inv10!$A$1:$C$282,3,FALSE),"Não encontrado")</f>
        <v>Não encontrado</v>
      </c>
      <c r="F5" s="7" t="s">
        <v>2752</v>
      </c>
    </row>
    <row r="6" spans="1:6" x14ac:dyDescent="0.3">
      <c r="A6" t="s">
        <v>2498</v>
      </c>
      <c r="B6" t="s">
        <v>2499</v>
      </c>
      <c r="C6" t="s">
        <v>2500</v>
      </c>
      <c r="D6" s="6" t="str">
        <f>IFERROR(VLOOKUP(A6,base_fiis_inv10!$A$1:$C$282,2,FALSE),"Não encontrado")</f>
        <v>Outro</v>
      </c>
      <c r="E6" s="6" t="str">
        <f>IFERROR(VLOOKUP(A6,base_fiis_inv10!$A$1:$C$282,3,FALSE),"Não encontrado")</f>
        <v>Fiagros</v>
      </c>
      <c r="F6" s="7" t="s">
        <v>2752</v>
      </c>
    </row>
    <row r="7" spans="1:6" x14ac:dyDescent="0.3">
      <c r="A7" t="s">
        <v>2501</v>
      </c>
      <c r="B7" t="s">
        <v>2502</v>
      </c>
      <c r="C7" t="s">
        <v>2500</v>
      </c>
      <c r="D7" s="6" t="str">
        <f>IFERROR(VLOOKUP(A7,base_fiis_inv10!$A$1:$C$282,2,FALSE),"Não encontrado")</f>
        <v>Não encontrado</v>
      </c>
      <c r="E7" s="6" t="str">
        <f>IFERROR(VLOOKUP(A7,base_fiis_inv10!$A$1:$C$282,3,FALSE),"Não encontrado")</f>
        <v>Não encontrado</v>
      </c>
      <c r="F7" s="7" t="s">
        <v>2752</v>
      </c>
    </row>
    <row r="8" spans="1:6" x14ac:dyDescent="0.3">
      <c r="A8" t="s">
        <v>2503</v>
      </c>
      <c r="B8" t="s">
        <v>2504</v>
      </c>
      <c r="C8" t="s">
        <v>2505</v>
      </c>
      <c r="D8" s="6" t="str">
        <f>IFERROR(VLOOKUP(A8,base_fiis_inv10!$A$1:$C$282,2,FALSE),"Não encontrado")</f>
        <v>Outro</v>
      </c>
      <c r="E8" s="6" t="str">
        <f>IFERROR(VLOOKUP(A8,base_fiis_inv10!$A$1:$C$282,3,FALSE),"Não encontrado")</f>
        <v>Fiagros</v>
      </c>
      <c r="F8" s="8" t="s">
        <v>2752</v>
      </c>
    </row>
    <row r="9" spans="1:6" x14ac:dyDescent="0.3">
      <c r="A9" t="s">
        <v>2506</v>
      </c>
      <c r="B9" t="s">
        <v>2507</v>
      </c>
      <c r="C9" t="s">
        <v>2508</v>
      </c>
      <c r="D9" s="6" t="str">
        <f>IFERROR(VLOOKUP(A9,base_fiis_inv10!$A$1:$C$282,2,FALSE),"Não encontrado")</f>
        <v>Não encontrado</v>
      </c>
      <c r="E9" s="6" t="str">
        <f>IFERROR(VLOOKUP(A9,base_fiis_inv10!$A$1:$C$282,3,FALSE),"Não encontrado")</f>
        <v>Não encontrado</v>
      </c>
      <c r="F9" s="7" t="s">
        <v>2752</v>
      </c>
    </row>
    <row r="10" spans="1:6" x14ac:dyDescent="0.3">
      <c r="A10" t="s">
        <v>2509</v>
      </c>
      <c r="B10" t="s">
        <v>2510</v>
      </c>
      <c r="C10" t="s">
        <v>2511</v>
      </c>
      <c r="D10" s="6" t="str">
        <f>IFERROR(VLOOKUP(A10,base_fiis_inv10!$A$1:$C$282,2,FALSE),"Não encontrado")</f>
        <v>Não encontrado</v>
      </c>
      <c r="E10" s="6" t="str">
        <f>IFERROR(VLOOKUP(A10,base_fiis_inv10!$A$1:$C$282,3,FALSE),"Não encontrado")</f>
        <v>Não encontrado</v>
      </c>
      <c r="F10" s="7" t="s">
        <v>2752</v>
      </c>
    </row>
    <row r="11" spans="1:6" x14ac:dyDescent="0.3">
      <c r="A11" t="s">
        <v>2512</v>
      </c>
      <c r="B11" t="s">
        <v>2513</v>
      </c>
      <c r="C11" t="s">
        <v>2514</v>
      </c>
      <c r="D11" s="6" t="str">
        <f>IFERROR(VLOOKUP(A11,base_fiis_inv10!$A$1:$C$282,2,FALSE),"Não encontrado")</f>
        <v>Outro</v>
      </c>
      <c r="E11" s="6" t="str">
        <f>IFERROR(VLOOKUP(A11,base_fiis_inv10!$A$1:$C$282,3,FALSE),"Não encontrado")</f>
        <v>Fiagros</v>
      </c>
      <c r="F11" s="7" t="s">
        <v>2752</v>
      </c>
    </row>
    <row r="12" spans="1:6" x14ac:dyDescent="0.3">
      <c r="A12" t="s">
        <v>2515</v>
      </c>
      <c r="B12" t="s">
        <v>2516</v>
      </c>
      <c r="C12" t="s">
        <v>2517</v>
      </c>
      <c r="D12" s="6" t="str">
        <f>IFERROR(VLOOKUP(A12,base_fiis_inv10!$A$1:$C$282,2,FALSE),"Não encontrado")</f>
        <v>Outro</v>
      </c>
      <c r="E12" s="6" t="str">
        <f>IFERROR(VLOOKUP(A12,base_fiis_inv10!$A$1:$C$282,3,FALSE),"Não encontrado")</f>
        <v>Fiagros</v>
      </c>
      <c r="F12" s="7" t="s">
        <v>2752</v>
      </c>
    </row>
    <row r="13" spans="1:6" x14ac:dyDescent="0.3">
      <c r="A13" t="s">
        <v>2518</v>
      </c>
      <c r="B13" t="s">
        <v>2519</v>
      </c>
      <c r="C13" t="s">
        <v>2520</v>
      </c>
      <c r="D13" s="6" t="str">
        <f>IFERROR(VLOOKUP(A13,base_fiis_inv10!$A$1:$C$282,2,FALSE),"Não encontrado")</f>
        <v>Outro</v>
      </c>
      <c r="E13" s="6" t="str">
        <f>IFERROR(VLOOKUP(A13,base_fiis_inv10!$A$1:$C$282,3,FALSE),"Não encontrado")</f>
        <v>Fiagros</v>
      </c>
      <c r="F13" s="7" t="s">
        <v>2752</v>
      </c>
    </row>
    <row r="14" spans="1:6" x14ac:dyDescent="0.3">
      <c r="A14" t="s">
        <v>2521</v>
      </c>
      <c r="B14" t="s">
        <v>2522</v>
      </c>
      <c r="C14" t="s">
        <v>2523</v>
      </c>
      <c r="D14" s="6" t="str">
        <f>IFERROR(VLOOKUP(A14,base_fiis_inv10!$A$1:$C$282,2,FALSE),"Não encontrado")</f>
        <v>Não encontrado</v>
      </c>
      <c r="E14" s="6" t="str">
        <f>IFERROR(VLOOKUP(A14,base_fiis_inv10!$A$1:$C$282,3,FALSE),"Não encontrado")</f>
        <v>Não encontrado</v>
      </c>
      <c r="F14" s="7" t="s">
        <v>2752</v>
      </c>
    </row>
    <row r="15" spans="1:6" x14ac:dyDescent="0.3">
      <c r="A15" t="s">
        <v>2524</v>
      </c>
      <c r="B15" t="s">
        <v>2525</v>
      </c>
      <c r="C15" t="s">
        <v>2526</v>
      </c>
      <c r="D15" s="6" t="str">
        <f>IFERROR(VLOOKUP(A15,base_fiis_inv10!$A$1:$C$282,2,FALSE),"Não encontrado")</f>
        <v>Não encontrado</v>
      </c>
      <c r="E15" s="6" t="str">
        <f>IFERROR(VLOOKUP(A15,base_fiis_inv10!$A$1:$C$282,3,FALSE),"Não encontrado")</f>
        <v>Não encontrado</v>
      </c>
      <c r="F15" s="7" t="s">
        <v>2752</v>
      </c>
    </row>
    <row r="16" spans="1:6" x14ac:dyDescent="0.3">
      <c r="A16" t="s">
        <v>2527</v>
      </c>
      <c r="B16" t="s">
        <v>2528</v>
      </c>
      <c r="C16" t="s">
        <v>2529</v>
      </c>
      <c r="D16" s="6" t="str">
        <f>IFERROR(VLOOKUP(A16,base_fiis_inv10!$A$1:$C$282,2,FALSE),"Não encontrado")</f>
        <v>Outro</v>
      </c>
      <c r="E16" s="6" t="str">
        <f>IFERROR(VLOOKUP(A16,base_fiis_inv10!$A$1:$C$282,3,FALSE),"Não encontrado")</f>
        <v>Fiagros</v>
      </c>
      <c r="F16" s="7" t="s">
        <v>2752</v>
      </c>
    </row>
    <row r="17" spans="1:6" x14ac:dyDescent="0.3">
      <c r="A17" t="s">
        <v>2530</v>
      </c>
      <c r="B17" t="s">
        <v>2531</v>
      </c>
      <c r="C17" t="s">
        <v>2532</v>
      </c>
      <c r="D17" s="6" t="str">
        <f>IFERROR(VLOOKUP(A17,base_fiis_inv10!$A$1:$C$282,2,FALSE),"Não encontrado")</f>
        <v>Não encontrado</v>
      </c>
      <c r="E17" s="6" t="str">
        <f>IFERROR(VLOOKUP(A17,base_fiis_inv10!$A$1:$C$282,3,FALSE),"Não encontrado")</f>
        <v>Não encontrado</v>
      </c>
      <c r="F17" s="7" t="s">
        <v>2752</v>
      </c>
    </row>
    <row r="18" spans="1:6" x14ac:dyDescent="0.3">
      <c r="A18" t="s">
        <v>2533</v>
      </c>
      <c r="B18" t="s">
        <v>2534</v>
      </c>
      <c r="C18" t="s">
        <v>2535</v>
      </c>
      <c r="D18" s="6" t="str">
        <f>IFERROR(VLOOKUP(A18,base_fiis_inv10!$A$1:$C$282,2,FALSE),"Não encontrado")</f>
        <v>Não encontrado</v>
      </c>
      <c r="E18" s="6" t="str">
        <f>IFERROR(VLOOKUP(A18,base_fiis_inv10!$A$1:$C$282,3,FALSE),"Não encontrado")</f>
        <v>Não encontrado</v>
      </c>
      <c r="F18" s="7" t="s">
        <v>2752</v>
      </c>
    </row>
    <row r="19" spans="1:6" x14ac:dyDescent="0.3">
      <c r="A19" t="s">
        <v>2536</v>
      </c>
      <c r="B19" t="s">
        <v>2537</v>
      </c>
      <c r="C19" t="s">
        <v>2535</v>
      </c>
      <c r="D19" s="6" t="str">
        <f>IFERROR(VLOOKUP(A19,base_fiis_inv10!$A$1:$C$282,2,FALSE),"Não encontrado")</f>
        <v>Não encontrado</v>
      </c>
      <c r="E19" s="6" t="str">
        <f>IFERROR(VLOOKUP(A19,base_fiis_inv10!$A$1:$C$282,3,FALSE),"Não encontrado")</f>
        <v>Não encontrado</v>
      </c>
      <c r="F19" s="7" t="s">
        <v>2752</v>
      </c>
    </row>
    <row r="20" spans="1:6" x14ac:dyDescent="0.3">
      <c r="A20" t="s">
        <v>2538</v>
      </c>
      <c r="B20" t="s">
        <v>2537</v>
      </c>
      <c r="C20" t="s">
        <v>2535</v>
      </c>
      <c r="D20" s="6" t="str">
        <f>IFERROR(VLOOKUP(A20,base_fiis_inv10!$A$1:$C$282,2,FALSE),"Não encontrado")</f>
        <v>Não encontrado</v>
      </c>
      <c r="E20" s="6" t="str">
        <f>IFERROR(VLOOKUP(A20,base_fiis_inv10!$A$1:$C$282,3,FALSE),"Não encontrado")</f>
        <v>Não encontrado</v>
      </c>
      <c r="F20" s="7" t="s">
        <v>2752</v>
      </c>
    </row>
    <row r="21" spans="1:6" x14ac:dyDescent="0.3">
      <c r="A21" t="s">
        <v>2539</v>
      </c>
      <c r="B21" t="s">
        <v>2540</v>
      </c>
      <c r="C21" t="s">
        <v>2541</v>
      </c>
      <c r="D21" s="6" t="str">
        <f>IFERROR(VLOOKUP(A21,base_fiis_inv10!$A$1:$C$282,2,FALSE),"Não encontrado")</f>
        <v>Não encontrado</v>
      </c>
      <c r="E21" s="6" t="str">
        <f>IFERROR(VLOOKUP(A21,base_fiis_inv10!$A$1:$C$282,3,FALSE),"Não encontrado")</f>
        <v>Não encontrado</v>
      </c>
      <c r="F21" s="7" t="s">
        <v>2752</v>
      </c>
    </row>
    <row r="22" spans="1:6" x14ac:dyDescent="0.3">
      <c r="A22" t="s">
        <v>2542</v>
      </c>
      <c r="B22" t="s">
        <v>2543</v>
      </c>
      <c r="C22" t="s">
        <v>2544</v>
      </c>
      <c r="D22" s="6" t="str">
        <f>IFERROR(VLOOKUP(A22,base_fiis_inv10!$A$1:$C$282,2,FALSE),"Não encontrado")</f>
        <v>Outro</v>
      </c>
      <c r="E22" s="6" t="str">
        <f>IFERROR(VLOOKUP(A22,base_fiis_inv10!$A$1:$C$282,3,FALSE),"Não encontrado")</f>
        <v>Fiagros</v>
      </c>
      <c r="F22" s="7" t="s">
        <v>2752</v>
      </c>
    </row>
    <row r="23" spans="1:6" x14ac:dyDescent="0.3">
      <c r="A23" t="s">
        <v>2545</v>
      </c>
      <c r="B23" t="s">
        <v>2546</v>
      </c>
      <c r="C23" t="s">
        <v>2547</v>
      </c>
      <c r="D23" s="6" t="str">
        <f>IFERROR(VLOOKUP(A23,base_fiis_inv10!$A$1:$C$282,2,FALSE),"Não encontrado")</f>
        <v>Não encontrado</v>
      </c>
      <c r="E23" s="6" t="str">
        <f>IFERROR(VLOOKUP(A23,base_fiis_inv10!$A$1:$C$282,3,FALSE),"Não encontrado")</f>
        <v>Não encontrado</v>
      </c>
      <c r="F23" s="7" t="s">
        <v>2752</v>
      </c>
    </row>
    <row r="24" spans="1:6" x14ac:dyDescent="0.3">
      <c r="A24" t="s">
        <v>2548</v>
      </c>
      <c r="B24" t="s">
        <v>2549</v>
      </c>
      <c r="C24" t="s">
        <v>2550</v>
      </c>
      <c r="D24" s="6" t="str">
        <f>IFERROR(VLOOKUP(A24,base_fiis_inv10!$A$1:$C$282,2,FALSE),"Não encontrado")</f>
        <v>Outro</v>
      </c>
      <c r="E24" s="6" t="str">
        <f>IFERROR(VLOOKUP(A24,base_fiis_inv10!$A$1:$C$282,3,FALSE),"Não encontrado")</f>
        <v>Fiagros</v>
      </c>
      <c r="F24" s="7" t="s">
        <v>2752</v>
      </c>
    </row>
    <row r="25" spans="1:6" x14ac:dyDescent="0.3">
      <c r="A25" t="s">
        <v>2551</v>
      </c>
      <c r="B25" t="s">
        <v>2552</v>
      </c>
      <c r="C25" t="s">
        <v>2553</v>
      </c>
      <c r="D25" s="6" t="str">
        <f>IFERROR(VLOOKUP(A25,base_fiis_inv10!$A$1:$C$282,2,FALSE),"Não encontrado")</f>
        <v>Não encontrado</v>
      </c>
      <c r="E25" s="6" t="str">
        <f>IFERROR(VLOOKUP(A25,base_fiis_inv10!$A$1:$C$282,3,FALSE),"Não encontrado")</f>
        <v>Não encontrado</v>
      </c>
      <c r="F25" s="7" t="s">
        <v>2752</v>
      </c>
    </row>
    <row r="26" spans="1:6" x14ac:dyDescent="0.3">
      <c r="A26" t="s">
        <v>2554</v>
      </c>
      <c r="B26" t="s">
        <v>2555</v>
      </c>
      <c r="C26" t="s">
        <v>2556</v>
      </c>
      <c r="D26" s="6" t="str">
        <f>IFERROR(VLOOKUP(A26,base_fiis_inv10!$A$1:$C$282,2,FALSE),"Não encontrado")</f>
        <v>Outro</v>
      </c>
      <c r="E26" s="6" t="str">
        <f>IFERROR(VLOOKUP(A26,base_fiis_inv10!$A$1:$C$282,3,FALSE),"Não encontrado")</f>
        <v>Fiagros</v>
      </c>
      <c r="F26" s="7" t="s">
        <v>2752</v>
      </c>
    </row>
    <row r="27" spans="1:6" x14ac:dyDescent="0.3">
      <c r="A27" t="s">
        <v>2557</v>
      </c>
      <c r="B27" t="s">
        <v>2558</v>
      </c>
      <c r="C27" t="s">
        <v>2559</v>
      </c>
      <c r="D27" s="6" t="str">
        <f>IFERROR(VLOOKUP(A27,base_fiis_inv10!$A$1:$C$282,2,FALSE),"Não encontrado")</f>
        <v>Outro</v>
      </c>
      <c r="E27" s="6" t="str">
        <f>IFERROR(VLOOKUP(A27,base_fiis_inv10!$A$1:$C$282,3,FALSE),"Não encontrado")</f>
        <v>Fiagros</v>
      </c>
      <c r="F27" s="7" t="s">
        <v>2752</v>
      </c>
    </row>
    <row r="28" spans="1:6" x14ac:dyDescent="0.3">
      <c r="A28" t="s">
        <v>2560</v>
      </c>
      <c r="B28" t="s">
        <v>2561</v>
      </c>
      <c r="C28" t="s">
        <v>2562</v>
      </c>
      <c r="D28" s="6" t="str">
        <f>IFERROR(VLOOKUP(A28,base_fiis_inv10!$A$1:$C$282,2,FALSE),"Não encontrado")</f>
        <v>Outro</v>
      </c>
      <c r="E28" s="6" t="str">
        <f>IFERROR(VLOOKUP(A28,base_fiis_inv10!$A$1:$C$282,3,FALSE),"Não encontrado")</f>
        <v>Fiagros</v>
      </c>
      <c r="F28" s="7" t="s">
        <v>2752</v>
      </c>
    </row>
    <row r="29" spans="1:6" x14ac:dyDescent="0.3">
      <c r="A29" t="s">
        <v>2563</v>
      </c>
      <c r="B29" t="s">
        <v>2519</v>
      </c>
      <c r="C29" t="s">
        <v>2520</v>
      </c>
      <c r="D29" s="6" t="str">
        <f>IFERROR(VLOOKUP(A29,base_fiis_inv10!$A$1:$C$282,2,FALSE),"Não encontrado")</f>
        <v>Não encontrado</v>
      </c>
      <c r="E29" s="6" t="str">
        <f>IFERROR(VLOOKUP(A29,base_fiis_inv10!$A$1:$C$282,3,FALSE),"Não encontrado")</f>
        <v>Não encontrado</v>
      </c>
      <c r="F29" s="7" t="s">
        <v>2752</v>
      </c>
    </row>
    <row r="30" spans="1:6" x14ac:dyDescent="0.3">
      <c r="A30" t="s">
        <v>2564</v>
      </c>
      <c r="B30" t="s">
        <v>2565</v>
      </c>
      <c r="C30" t="s">
        <v>2566</v>
      </c>
      <c r="D30" s="6" t="str">
        <f>IFERROR(VLOOKUP(A30,base_fiis_inv10!$A$1:$C$282,2,FALSE),"Não encontrado")</f>
        <v>Fundo de papel</v>
      </c>
      <c r="E30" s="6" t="str">
        <f>IFERROR(VLOOKUP(A30,base_fiis_inv10!$A$1:$C$282,3,FALSE),"Não encontrado")</f>
        <v>Fiagros</v>
      </c>
      <c r="F30" s="7" t="s">
        <v>2752</v>
      </c>
    </row>
    <row r="31" spans="1:6" x14ac:dyDescent="0.3">
      <c r="A31" t="s">
        <v>2567</v>
      </c>
      <c r="B31" t="s">
        <v>2568</v>
      </c>
      <c r="C31" t="s">
        <v>2569</v>
      </c>
      <c r="D31" s="6" t="str">
        <f>IFERROR(VLOOKUP(A31,base_fiis_inv10!$A$1:$C$282,2,FALSE),"Não encontrado")</f>
        <v>Outro</v>
      </c>
      <c r="E31" s="6" t="str">
        <f>IFERROR(VLOOKUP(A31,base_fiis_inv10!$A$1:$C$282,3,FALSE),"Não encontrado")</f>
        <v>Fiagros</v>
      </c>
      <c r="F31" s="7" t="s">
        <v>2752</v>
      </c>
    </row>
    <row r="32" spans="1:6" x14ac:dyDescent="0.3">
      <c r="A32" t="s">
        <v>2570</v>
      </c>
      <c r="B32" t="s">
        <v>2571</v>
      </c>
      <c r="C32" t="s">
        <v>2572</v>
      </c>
      <c r="D32" s="6" t="str">
        <f>IFERROR(VLOOKUP(A32,base_fiis_inv10!$A$1:$C$282,2,FALSE),"Não encontrado")</f>
        <v>Não encontrado</v>
      </c>
      <c r="E32" s="6" t="str">
        <f>IFERROR(VLOOKUP(A32,base_fiis_inv10!$A$1:$C$282,3,FALSE),"Não encontrado")</f>
        <v>Não encontrado</v>
      </c>
      <c r="F32" s="7" t="s">
        <v>2752</v>
      </c>
    </row>
    <row r="33" spans="1:6" x14ac:dyDescent="0.3">
      <c r="A33" t="s">
        <v>2573</v>
      </c>
      <c r="B33" t="s">
        <v>2574</v>
      </c>
      <c r="C33" t="s">
        <v>2575</v>
      </c>
      <c r="D33" s="6" t="str">
        <f>IFERROR(VLOOKUP(A33,base_fiis_inv10!$A$1:$C$282,2,FALSE),"Não encontrado")</f>
        <v>Outro</v>
      </c>
      <c r="E33" s="6" t="str">
        <f>IFERROR(VLOOKUP(A33,base_fiis_inv10!$A$1:$C$282,3,FALSE),"Não encontrado")</f>
        <v>Fiagros</v>
      </c>
      <c r="F33" s="7" t="s">
        <v>2752</v>
      </c>
    </row>
    <row r="34" spans="1:6" x14ac:dyDescent="0.3">
      <c r="A34" t="s">
        <v>2576</v>
      </c>
      <c r="B34" t="s">
        <v>2577</v>
      </c>
      <c r="C34" t="s">
        <v>2578</v>
      </c>
      <c r="D34" s="6" t="str">
        <f>IFERROR(VLOOKUP(A34,base_fiis_inv10!$A$1:$C$282,2,FALSE),"Não encontrado")</f>
        <v>Outro</v>
      </c>
      <c r="E34" s="6" t="str">
        <f>IFERROR(VLOOKUP(A34,base_fiis_inv10!$A$1:$C$282,3,FALSE),"Não encontrado")</f>
        <v>Fiagros</v>
      </c>
      <c r="F34" s="7" t="s">
        <v>2752</v>
      </c>
    </row>
    <row r="35" spans="1:6" x14ac:dyDescent="0.3">
      <c r="A35" t="s">
        <v>2579</v>
      </c>
      <c r="B35" t="s">
        <v>2580</v>
      </c>
      <c r="C35" t="s">
        <v>2581</v>
      </c>
      <c r="D35" s="6" t="str">
        <f>IFERROR(VLOOKUP(A35,base_fiis_inv10!$A$1:$C$282,2,FALSE),"Não encontrado")</f>
        <v>Não encontrado</v>
      </c>
      <c r="E35" s="6" t="str">
        <f>IFERROR(VLOOKUP(A35,base_fiis_inv10!$A$1:$C$282,3,FALSE),"Não encontrado")</f>
        <v>Não encontrado</v>
      </c>
      <c r="F35" s="7" t="s">
        <v>2752</v>
      </c>
    </row>
    <row r="36" spans="1:6" x14ac:dyDescent="0.3">
      <c r="A36" t="s">
        <v>2582</v>
      </c>
      <c r="B36" t="s">
        <v>2583</v>
      </c>
      <c r="C36" t="s">
        <v>2584</v>
      </c>
      <c r="D36" s="6" t="str">
        <f>IFERROR(VLOOKUP(A36,base_fiis_inv10!$A$1:$C$282,2,FALSE),"Não encontrado")</f>
        <v>Não encontrado</v>
      </c>
      <c r="E36" s="6" t="str">
        <f>IFERROR(VLOOKUP(A36,base_fiis_inv10!$A$1:$C$282,3,FALSE),"Não encontrado")</f>
        <v>Não encontrado</v>
      </c>
      <c r="F36" s="7" t="s">
        <v>2752</v>
      </c>
    </row>
    <row r="37" spans="1:6" x14ac:dyDescent="0.3">
      <c r="A37" t="s">
        <v>2585</v>
      </c>
      <c r="B37" t="s">
        <v>2586</v>
      </c>
      <c r="C37" t="s">
        <v>2587</v>
      </c>
      <c r="D37" s="6" t="str">
        <f>IFERROR(VLOOKUP(A37,base_fiis_inv10!$A$1:$C$282,2,FALSE),"Não encontrado")</f>
        <v>Outro</v>
      </c>
      <c r="E37" s="6" t="str">
        <f>IFERROR(VLOOKUP(A37,base_fiis_inv10!$A$1:$C$282,3,FALSE),"Não encontrado")</f>
        <v>Fiagros</v>
      </c>
      <c r="F37" s="7" t="s">
        <v>2752</v>
      </c>
    </row>
    <row r="38" spans="1:6" x14ac:dyDescent="0.3">
      <c r="A38" t="s">
        <v>2588</v>
      </c>
      <c r="B38" t="s">
        <v>2589</v>
      </c>
      <c r="C38" t="s">
        <v>2590</v>
      </c>
      <c r="D38" s="6" t="str">
        <f>IFERROR(VLOOKUP(A38,base_fiis_inv10!$A$1:$C$282,2,FALSE),"Não encontrado")</f>
        <v>Outro</v>
      </c>
      <c r="E38" s="6" t="str">
        <f>IFERROR(VLOOKUP(A38,base_fiis_inv10!$A$1:$C$282,3,FALSE),"Não encontrado")</f>
        <v>Fiagros</v>
      </c>
      <c r="F38" s="7" t="s">
        <v>2752</v>
      </c>
    </row>
    <row r="39" spans="1:6" x14ac:dyDescent="0.3">
      <c r="A39" t="s">
        <v>2591</v>
      </c>
      <c r="B39" t="s">
        <v>2592</v>
      </c>
      <c r="C39" t="s">
        <v>2593</v>
      </c>
      <c r="D39" s="6" t="str">
        <f>IFERROR(VLOOKUP(A39,base_fiis_inv10!$A$1:$C$282,2,FALSE),"Não encontrado")</f>
        <v>Outro</v>
      </c>
      <c r="E39" s="6" t="str">
        <f>IFERROR(VLOOKUP(A39,base_fiis_inv10!$A$1:$C$282,3,FALSE),"Não encontrado")</f>
        <v>Fiagros</v>
      </c>
      <c r="F39" s="7" t="s">
        <v>2752</v>
      </c>
    </row>
    <row r="40" spans="1:6" x14ac:dyDescent="0.3">
      <c r="A40" t="s">
        <v>2594</v>
      </c>
      <c r="B40" t="s">
        <v>2595</v>
      </c>
      <c r="C40" t="s">
        <v>2596</v>
      </c>
      <c r="D40" s="6" t="str">
        <f>IFERROR(VLOOKUP(A40,base_fiis_inv10!$A$1:$C$282,2,FALSE),"Não encontrado")</f>
        <v>Outro</v>
      </c>
      <c r="E40" s="6" t="str">
        <f>IFERROR(VLOOKUP(A40,base_fiis_inv10!$A$1:$C$282,3,FALSE),"Não encontrado")</f>
        <v>Fiagros</v>
      </c>
      <c r="F40" s="7" t="s">
        <v>2752</v>
      </c>
    </row>
    <row r="41" spans="1:6" x14ac:dyDescent="0.3">
      <c r="A41" t="s">
        <v>2597</v>
      </c>
      <c r="B41" t="s">
        <v>2598</v>
      </c>
      <c r="C41" t="s">
        <v>2599</v>
      </c>
      <c r="D41" s="6" t="str">
        <f>IFERROR(VLOOKUP(A41,base_fiis_inv10!$A$1:$C$282,2,FALSE),"Não encontrado")</f>
        <v>Não encontrado</v>
      </c>
      <c r="E41" s="6" t="str">
        <f>IFERROR(VLOOKUP(A41,base_fiis_inv10!$A$1:$C$282,3,FALSE),"Não encontrado")</f>
        <v>Não encontrado</v>
      </c>
      <c r="F41" s="7" t="s">
        <v>2752</v>
      </c>
    </row>
    <row r="42" spans="1:6" x14ac:dyDescent="0.3">
      <c r="A42" t="s">
        <v>2600</v>
      </c>
      <c r="B42" t="s">
        <v>2601</v>
      </c>
      <c r="C42" t="s">
        <v>2602</v>
      </c>
      <c r="D42" s="6" t="str">
        <f>IFERROR(VLOOKUP(A42,base_fiis_inv10!$A$1:$C$282,2,FALSE),"Não encontrado")</f>
        <v>Outro</v>
      </c>
      <c r="E42" s="6" t="str">
        <f>IFERROR(VLOOKUP(A42,base_fiis_inv10!$A$1:$C$282,3,FALSE),"Não encontrado")</f>
        <v>Fiagros</v>
      </c>
      <c r="F42" s="7" t="s">
        <v>2752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B20" sqref="B20"/>
    </sheetView>
  </sheetViews>
  <sheetFormatPr defaultRowHeight="14.4" x14ac:dyDescent="0.3"/>
  <cols>
    <col min="1" max="1" width="7.77734375" bestFit="1" customWidth="1"/>
    <col min="2" max="2" width="49.88671875" bestFit="1" customWidth="1"/>
    <col min="3" max="3" width="17.77734375" bestFit="1" customWidth="1"/>
    <col min="4" max="4" width="23.109375" bestFit="1" customWidth="1"/>
    <col min="5" max="5" width="28.21875" bestFit="1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2707</v>
      </c>
      <c r="E1" s="1" t="s">
        <v>2751</v>
      </c>
      <c r="F1" s="1" t="s">
        <v>3</v>
      </c>
    </row>
    <row r="2" spans="1:6" x14ac:dyDescent="0.3">
      <c r="A2" t="s">
        <v>2603</v>
      </c>
      <c r="B2" t="s">
        <v>2604</v>
      </c>
      <c r="C2" t="s">
        <v>2605</v>
      </c>
      <c r="D2" s="6" t="str">
        <f>IFERROR(VLOOKUP(A2,base_fiis_inv10!$A$1:$C$282,2,FALSE),"Não encontrado")</f>
        <v>Outro</v>
      </c>
      <c r="E2" s="6" t="str">
        <f>IFERROR(VLOOKUP(A2,base_fiis_inv10!$A$1:$C$282,3,FALSE),"Não encontrado")</f>
        <v>Fundo de Infraestrutura (FI-Infra)</v>
      </c>
      <c r="F2" s="7" t="s">
        <v>2753</v>
      </c>
    </row>
    <row r="3" spans="1:6" x14ac:dyDescent="0.3">
      <c r="A3" t="s">
        <v>2606</v>
      </c>
      <c r="B3" t="s">
        <v>2607</v>
      </c>
      <c r="C3" t="s">
        <v>2608</v>
      </c>
      <c r="D3" s="6" t="str">
        <f>IFERROR(VLOOKUP(A3,base_fiis_inv10!$A$1:$C$282,2,FALSE),"Não encontrado")</f>
        <v>Outro</v>
      </c>
      <c r="E3" s="6" t="str">
        <f>IFERROR(VLOOKUP(A3,base_fiis_inv10!$A$1:$C$282,3,FALSE),"Não encontrado")</f>
        <v>Fundo de Infraestrutura (FI-Infra)</v>
      </c>
      <c r="F3" s="7" t="s">
        <v>2753</v>
      </c>
    </row>
    <row r="4" spans="1:6" x14ac:dyDescent="0.3">
      <c r="A4" t="s">
        <v>2609</v>
      </c>
      <c r="B4" t="s">
        <v>2610</v>
      </c>
      <c r="C4" t="s">
        <v>2611</v>
      </c>
      <c r="D4" s="6" t="str">
        <f>IFERROR(VLOOKUP(A4,base_fiis_inv10!$A$1:$C$282,2,FALSE),"Não encontrado")</f>
        <v>Outro</v>
      </c>
      <c r="E4" s="6" t="str">
        <f>IFERROR(VLOOKUP(A4,base_fiis_inv10!$A$1:$C$282,3,FALSE),"Não encontrado")</f>
        <v>Fundo de Infraestrutura (FI-Infra)</v>
      </c>
      <c r="F4" s="7" t="s">
        <v>2753</v>
      </c>
    </row>
    <row r="5" spans="1:6" x14ac:dyDescent="0.3">
      <c r="A5" t="s">
        <v>2612</v>
      </c>
      <c r="B5" t="s">
        <v>2613</v>
      </c>
      <c r="C5" t="s">
        <v>2614</v>
      </c>
      <c r="D5" s="6" t="str">
        <f>IFERROR(VLOOKUP(A5,base_fiis_inv10!$A$1:$C$282,2,FALSE),"Não encontrado")</f>
        <v>Outro</v>
      </c>
      <c r="E5" s="6" t="str">
        <f>IFERROR(VLOOKUP(A5,base_fiis_inv10!$A$1:$C$282,3,FALSE),"Não encontrado")</f>
        <v>Fundo de Infraestrutura (FI-Infra)</v>
      </c>
      <c r="F5" s="7" t="s">
        <v>2753</v>
      </c>
    </row>
    <row r="6" spans="1:6" x14ac:dyDescent="0.3">
      <c r="A6" t="s">
        <v>2615</v>
      </c>
      <c r="B6" t="s">
        <v>2616</v>
      </c>
      <c r="C6" t="s">
        <v>2617</v>
      </c>
      <c r="D6" s="6" t="str">
        <f>IFERROR(VLOOKUP(A6,base_fiis_inv10!$A$1:$C$282,2,FALSE),"Não encontrado")</f>
        <v>Outro</v>
      </c>
      <c r="E6" s="6" t="str">
        <f>IFERROR(VLOOKUP(A6,base_fiis_inv10!$A$1:$C$282,3,FALSE),"Não encontrado")</f>
        <v>Fundo de Infraestrutura (FI-Infra)</v>
      </c>
      <c r="F6" s="7" t="s">
        <v>2753</v>
      </c>
    </row>
    <row r="7" spans="1:6" x14ac:dyDescent="0.3">
      <c r="A7" t="s">
        <v>2618</v>
      </c>
      <c r="B7" t="s">
        <v>2619</v>
      </c>
      <c r="C7" t="s">
        <v>2620</v>
      </c>
      <c r="D7" s="6" t="str">
        <f>IFERROR(VLOOKUP(A7,base_fiis_inv10!$A$1:$C$282,2,FALSE),"Não encontrado")</f>
        <v>Outro</v>
      </c>
      <c r="E7" s="6" t="str">
        <f>IFERROR(VLOOKUP(A7,base_fiis_inv10!$A$1:$C$282,3,FALSE),"Não encontrado")</f>
        <v>Fundo de Infraestrutura (FI-Infra)</v>
      </c>
      <c r="F7" s="7" t="s">
        <v>2753</v>
      </c>
    </row>
    <row r="8" spans="1:6" x14ac:dyDescent="0.3">
      <c r="A8" t="s">
        <v>2621</v>
      </c>
      <c r="B8" t="s">
        <v>2622</v>
      </c>
      <c r="C8" t="s">
        <v>2623</v>
      </c>
      <c r="D8" s="6" t="str">
        <f>IFERROR(VLOOKUP(A8,base_fiis_inv10!$A$1:$C$282,2,FALSE),"Não encontrado")</f>
        <v>Não encontrado</v>
      </c>
      <c r="E8" s="6" t="str">
        <f>IFERROR(VLOOKUP(A8,base_fiis_inv10!$A$1:$C$282,3,FALSE),"Não encontrado")</f>
        <v>Não encontrado</v>
      </c>
      <c r="F8" s="7" t="s">
        <v>2753</v>
      </c>
    </row>
    <row r="9" spans="1:6" x14ac:dyDescent="0.3">
      <c r="A9" t="s">
        <v>2624</v>
      </c>
      <c r="B9" t="s">
        <v>2625</v>
      </c>
      <c r="C9" t="s">
        <v>2626</v>
      </c>
      <c r="D9" s="6" t="str">
        <f>IFERROR(VLOOKUP(A9,base_fiis_inv10!$A$1:$C$282,2,FALSE),"Não encontrado")</f>
        <v>Fundo de desenvolvimento</v>
      </c>
      <c r="E9" s="6" t="str">
        <f>IFERROR(VLOOKUP(A9,base_fiis_inv10!$A$1:$C$282,3,FALSE),"Não encontrado")</f>
        <v>Fundo de Infraestrutura (FI-Infra)</v>
      </c>
      <c r="F9" s="7" t="s">
        <v>2753</v>
      </c>
    </row>
    <row r="10" spans="1:6" x14ac:dyDescent="0.3">
      <c r="A10" t="s">
        <v>2627</v>
      </c>
      <c r="B10" t="s">
        <v>2628</v>
      </c>
      <c r="C10" t="s">
        <v>2629</v>
      </c>
      <c r="D10" s="6" t="str">
        <f>IFERROR(VLOOKUP(A10,base_fiis_inv10!$A$1:$C$282,2,FALSE),"Não encontrado")</f>
        <v>Não encontrado</v>
      </c>
      <c r="E10" s="6" t="str">
        <f>IFERROR(VLOOKUP(A10,base_fiis_inv10!$A$1:$C$282,3,FALSE),"Não encontrado")</f>
        <v>Não encontrado</v>
      </c>
      <c r="F10" s="7" t="s">
        <v>2753</v>
      </c>
    </row>
    <row r="11" spans="1:6" x14ac:dyDescent="0.3">
      <c r="A11" t="s">
        <v>2630</v>
      </c>
      <c r="B11" t="s">
        <v>2631</v>
      </c>
      <c r="C11" t="s">
        <v>2632</v>
      </c>
      <c r="D11" s="6" t="str">
        <f>IFERROR(VLOOKUP(A11,base_fiis_inv10!$A$1:$C$282,2,FALSE),"Não encontrado")</f>
        <v>Outro</v>
      </c>
      <c r="E11" s="6" t="str">
        <f>IFERROR(VLOOKUP(A11,base_fiis_inv10!$A$1:$C$282,3,FALSE),"Não encontrado")</f>
        <v>Fundo de Infraestrutura (FI-Infra)</v>
      </c>
      <c r="F11" s="7" t="s">
        <v>2753</v>
      </c>
    </row>
    <row r="12" spans="1:6" x14ac:dyDescent="0.3">
      <c r="A12" t="s">
        <v>2633</v>
      </c>
      <c r="B12" t="s">
        <v>2634</v>
      </c>
      <c r="C12" t="s">
        <v>2635</v>
      </c>
      <c r="D12" s="6" t="str">
        <f>IFERROR(VLOOKUP(A12,base_fiis_inv10!$A$1:$C$282,2,FALSE),"Não encontrado")</f>
        <v>Outro</v>
      </c>
      <c r="E12" s="6" t="str">
        <f>IFERROR(VLOOKUP(A12,base_fiis_inv10!$A$1:$C$282,3,FALSE),"Não encontrado")</f>
        <v>Fundo de Infraestrutura (FI-Infra)</v>
      </c>
      <c r="F12" s="7" t="s">
        <v>2753</v>
      </c>
    </row>
    <row r="13" spans="1:6" x14ac:dyDescent="0.3">
      <c r="A13" t="s">
        <v>2636</v>
      </c>
      <c r="B13" t="s">
        <v>2637</v>
      </c>
      <c r="C13" t="s">
        <v>2638</v>
      </c>
      <c r="D13" s="6" t="str">
        <f>IFERROR(VLOOKUP(A13,base_fiis_inv10!$A$1:$C$282,2,FALSE),"Não encontrado")</f>
        <v>Não encontrado</v>
      </c>
      <c r="E13" s="6" t="str">
        <f>IFERROR(VLOOKUP(A13,base_fiis_inv10!$A$1:$C$282,3,FALSE),"Não encontrado")</f>
        <v>Não encontrado</v>
      </c>
      <c r="F13" s="7" t="s">
        <v>2753</v>
      </c>
    </row>
    <row r="14" spans="1:6" x14ac:dyDescent="0.3">
      <c r="A14" t="s">
        <v>2639</v>
      </c>
      <c r="B14" t="s">
        <v>2640</v>
      </c>
      <c r="C14" t="s">
        <v>2641</v>
      </c>
      <c r="D14" s="6" t="str">
        <f>IFERROR(VLOOKUP(A14,base_fiis_inv10!$A$1:$C$282,2,FALSE),"Não encontrado")</f>
        <v>Não encontrado</v>
      </c>
      <c r="E14" s="6" t="str">
        <f>IFERROR(VLOOKUP(A14,base_fiis_inv10!$A$1:$C$282,3,FALSE),"Não encontrado")</f>
        <v>Não encontrado</v>
      </c>
      <c r="F14" s="7" t="s">
        <v>2753</v>
      </c>
    </row>
    <row r="15" spans="1:6" x14ac:dyDescent="0.3">
      <c r="A15" t="s">
        <v>2642</v>
      </c>
      <c r="B15" t="s">
        <v>2643</v>
      </c>
      <c r="C15" t="s">
        <v>2644</v>
      </c>
      <c r="D15" s="6" t="str">
        <f>IFERROR(VLOOKUP(A15,base_fiis_inv10!$A$1:$C$282,2,FALSE),"Não encontrado")</f>
        <v>Outro</v>
      </c>
      <c r="E15" s="6" t="str">
        <f>IFERROR(VLOOKUP(A15,base_fiis_inv10!$A$1:$C$282,3,FALSE),"Não encontrado")</f>
        <v>Fundo de Infraestrutura (FI-Infra)</v>
      </c>
      <c r="F15" s="7" t="s">
        <v>2753</v>
      </c>
    </row>
    <row r="16" spans="1:6" x14ac:dyDescent="0.3">
      <c r="A16" t="s">
        <v>2645</v>
      </c>
      <c r="B16" t="s">
        <v>2646</v>
      </c>
      <c r="C16" t="s">
        <v>2647</v>
      </c>
      <c r="D16" s="6" t="str">
        <f>IFERROR(VLOOKUP(A16,base_fiis_inv10!$A$1:$C$282,2,FALSE),"Não encontrado")</f>
        <v>Não encontrado</v>
      </c>
      <c r="E16" s="6" t="str">
        <f>IFERROR(VLOOKUP(A16,base_fiis_inv10!$A$1:$C$282,3,FALSE),"Não encontrado")</f>
        <v>Não encontrado</v>
      </c>
      <c r="F16" s="7" t="s">
        <v>2753</v>
      </c>
    </row>
    <row r="17" spans="1:6" x14ac:dyDescent="0.3">
      <c r="A17" t="s">
        <v>2648</v>
      </c>
      <c r="B17" t="s">
        <v>2649</v>
      </c>
      <c r="C17" t="s">
        <v>2650</v>
      </c>
      <c r="D17" s="6" t="str">
        <f>IFERROR(VLOOKUP(A17,base_fiis_inv10!$A$1:$C$282,2,FALSE),"Não encontrado")</f>
        <v>Outro</v>
      </c>
      <c r="E17" s="6" t="str">
        <f>IFERROR(VLOOKUP(A17,base_fiis_inv10!$A$1:$C$282,3,FALSE),"Não encontrado")</f>
        <v>Fundo de Infraestrutura (FI-Infra)</v>
      </c>
      <c r="F17" s="7" t="s">
        <v>2753</v>
      </c>
    </row>
    <row r="18" spans="1:6" x14ac:dyDescent="0.3">
      <c r="A18" t="s">
        <v>2651</v>
      </c>
      <c r="B18" t="s">
        <v>2652</v>
      </c>
      <c r="C18" t="s">
        <v>2653</v>
      </c>
      <c r="D18" s="6" t="str">
        <f>IFERROR(VLOOKUP(A18,base_fiis_inv10!$A$1:$C$282,2,FALSE),"Não encontrado")</f>
        <v>Outro</v>
      </c>
      <c r="E18" s="6" t="str">
        <f>IFERROR(VLOOKUP(A18,base_fiis_inv10!$A$1:$C$282,3,FALSE),"Não encontrado")</f>
        <v>Fundo de Infraestrutura (FI-Infra)</v>
      </c>
      <c r="F18" s="7" t="s">
        <v>2753</v>
      </c>
    </row>
    <row r="19" spans="1:6" x14ac:dyDescent="0.3">
      <c r="A19" t="s">
        <v>2654</v>
      </c>
      <c r="B19" t="s">
        <v>2655</v>
      </c>
      <c r="C19" t="s">
        <v>2656</v>
      </c>
      <c r="D19" s="6" t="str">
        <f>IFERROR(VLOOKUP(A19,base_fiis_inv10!$A$1:$C$282,2,FALSE),"Não encontrado")</f>
        <v>Outro</v>
      </c>
      <c r="E19" s="6" t="str">
        <f>IFERROR(VLOOKUP(A19,base_fiis_inv10!$A$1:$C$282,3,FALSE),"Não encontrado")</f>
        <v>Fundo de Infraestrutura (FI-Infra)</v>
      </c>
      <c r="F19" s="7" t="s">
        <v>2753</v>
      </c>
    </row>
    <row r="20" spans="1:6" x14ac:dyDescent="0.3">
      <c r="A20" t="s">
        <v>2657</v>
      </c>
      <c r="B20" t="s">
        <v>2658</v>
      </c>
      <c r="C20" t="s">
        <v>2659</v>
      </c>
      <c r="D20" s="6" t="str">
        <f>IFERROR(VLOOKUP(A20,base_fiis_inv10!$A$1:$C$282,2,FALSE),"Não encontrado")</f>
        <v>Outro</v>
      </c>
      <c r="E20" s="6" t="str">
        <f>IFERROR(VLOOKUP(A20,base_fiis_inv10!$A$1:$C$282,3,FALSE),"Não encontrado")</f>
        <v>Fundo de Infraestrutura (FI-Infra)</v>
      </c>
      <c r="F20" s="7" t="s">
        <v>2753</v>
      </c>
    </row>
    <row r="21" spans="1:6" x14ac:dyDescent="0.3">
      <c r="A21" t="s">
        <v>2660</v>
      </c>
      <c r="B21" t="s">
        <v>2661</v>
      </c>
      <c r="C21" t="s">
        <v>2662</v>
      </c>
      <c r="D21" s="6" t="str">
        <f>IFERROR(VLOOKUP(A21,base_fiis_inv10!$A$1:$C$282,2,FALSE),"Não encontrado")</f>
        <v>Outro</v>
      </c>
      <c r="E21" s="6" t="str">
        <f>IFERROR(VLOOKUP(A21,base_fiis_inv10!$A$1:$C$282,3,FALSE),"Não encontrado")</f>
        <v>Fundo de Infraestrutura (FI-Infra)</v>
      </c>
      <c r="F21" s="7" t="s">
        <v>2753</v>
      </c>
    </row>
    <row r="22" spans="1:6" x14ac:dyDescent="0.3">
      <c r="A22" t="s">
        <v>2663</v>
      </c>
      <c r="B22" t="s">
        <v>2664</v>
      </c>
      <c r="C22" t="s">
        <v>2665</v>
      </c>
      <c r="D22" s="6" t="str">
        <f>IFERROR(VLOOKUP(A22,base_fiis_inv10!$A$1:$C$282,2,FALSE),"Não encontrado")</f>
        <v>Outro</v>
      </c>
      <c r="E22" s="6" t="str">
        <f>IFERROR(VLOOKUP(A22,base_fiis_inv10!$A$1:$C$282,3,FALSE),"Não encontrado")</f>
        <v>Fundo de Infraestrutura (FI-Infra)</v>
      </c>
      <c r="F22" s="7" t="s">
        <v>2753</v>
      </c>
    </row>
    <row r="23" spans="1:6" x14ac:dyDescent="0.3">
      <c r="A23" t="s">
        <v>2666</v>
      </c>
      <c r="B23" t="s">
        <v>2667</v>
      </c>
      <c r="C23" t="s">
        <v>2668</v>
      </c>
      <c r="D23" s="6" t="str">
        <f>IFERROR(VLOOKUP(A23,base_fiis_inv10!$A$1:$C$282,2,FALSE),"Não encontrado")</f>
        <v>Não encontrado</v>
      </c>
      <c r="E23" s="6" t="str">
        <f>IFERROR(VLOOKUP(A23,base_fiis_inv10!$A$1:$C$282,3,FALSE),"Não encontrado")</f>
        <v>Não encontrado</v>
      </c>
      <c r="F23" s="7" t="s">
        <v>2753</v>
      </c>
    </row>
    <row r="24" spans="1:6" x14ac:dyDescent="0.3">
      <c r="A24" t="s">
        <v>2669</v>
      </c>
      <c r="B24" t="s">
        <v>2670</v>
      </c>
      <c r="C24" t="s">
        <v>2671</v>
      </c>
      <c r="D24" s="6" t="str">
        <f>IFERROR(VLOOKUP(A24,base_fiis_inv10!$A$1:$C$282,2,FALSE),"Não encontrado")</f>
        <v>Não encontrado</v>
      </c>
      <c r="E24" s="6" t="str">
        <f>IFERROR(VLOOKUP(A24,base_fiis_inv10!$A$1:$C$282,3,FALSE),"Não encontrado")</f>
        <v>Não encontrado</v>
      </c>
      <c r="F24" s="7" t="s">
        <v>2753</v>
      </c>
    </row>
    <row r="25" spans="1:6" x14ac:dyDescent="0.3">
      <c r="A25" t="s">
        <v>2672</v>
      </c>
      <c r="B25" t="s">
        <v>2673</v>
      </c>
      <c r="C25" t="s">
        <v>2674</v>
      </c>
      <c r="D25" s="6" t="str">
        <f>IFERROR(VLOOKUP(A25,base_fiis_inv10!$A$1:$C$282,2,FALSE),"Não encontrado")</f>
        <v>Outro</v>
      </c>
      <c r="E25" s="6" t="str">
        <f>IFERROR(VLOOKUP(A25,base_fiis_inv10!$A$1:$C$282,3,FALSE),"Não encontrado")</f>
        <v>Fundo de Infraestrutura (FI-Infra)</v>
      </c>
      <c r="F25" s="7" t="s">
        <v>2753</v>
      </c>
    </row>
    <row r="26" spans="1:6" x14ac:dyDescent="0.3">
      <c r="A26" t="s">
        <v>2675</v>
      </c>
      <c r="B26" t="s">
        <v>2676</v>
      </c>
      <c r="C26" t="s">
        <v>2677</v>
      </c>
      <c r="D26" s="6" t="str">
        <f>IFERROR(VLOOKUP(A26,base_fiis_inv10!$A$1:$C$282,2,FALSE),"Não encontrado")</f>
        <v>Não encontrado</v>
      </c>
      <c r="E26" s="6" t="str">
        <f>IFERROR(VLOOKUP(A26,base_fiis_inv10!$A$1:$C$282,3,FALSE),"Não encontrado")</f>
        <v>Não encontrado</v>
      </c>
      <c r="F26" s="7" t="s">
        <v>2753</v>
      </c>
    </row>
    <row r="27" spans="1:6" x14ac:dyDescent="0.3">
      <c r="A27" t="s">
        <v>2678</v>
      </c>
      <c r="B27" t="s">
        <v>2679</v>
      </c>
      <c r="C27" t="s">
        <v>2680</v>
      </c>
      <c r="D27" s="6" t="str">
        <f>IFERROR(VLOOKUP(A27,base_fiis_inv10!$A$1:$C$282,2,FALSE),"Não encontrado")</f>
        <v>Outro</v>
      </c>
      <c r="E27" s="6" t="str">
        <f>IFERROR(VLOOKUP(A27,base_fiis_inv10!$A$1:$C$282,3,FALSE),"Não encontrado")</f>
        <v>Fundo de Infraestrutura (FI-Infra)</v>
      </c>
      <c r="F27" s="7" t="s">
        <v>2753</v>
      </c>
    </row>
    <row r="28" spans="1:6" x14ac:dyDescent="0.3">
      <c r="A28" t="s">
        <v>2681</v>
      </c>
      <c r="B28" t="s">
        <v>2682</v>
      </c>
      <c r="C28" t="s">
        <v>2683</v>
      </c>
      <c r="D28" s="6" t="str">
        <f>IFERROR(VLOOKUP(A28,base_fiis_inv10!$A$1:$C$282,2,FALSE),"Não encontrado")</f>
        <v>Não encontrado</v>
      </c>
      <c r="E28" s="6" t="str">
        <f>IFERROR(VLOOKUP(A28,base_fiis_inv10!$A$1:$C$282,3,FALSE),"Não encontrado")</f>
        <v>Não encontrado</v>
      </c>
      <c r="F28" s="7" t="s">
        <v>2753</v>
      </c>
    </row>
    <row r="29" spans="1:6" x14ac:dyDescent="0.3">
      <c r="A29" t="s">
        <v>2684</v>
      </c>
      <c r="B29" t="s">
        <v>2685</v>
      </c>
      <c r="C29" t="s">
        <v>2686</v>
      </c>
      <c r="D29" s="6" t="str">
        <f>IFERROR(VLOOKUP(A29,base_fiis_inv10!$A$1:$C$282,2,FALSE),"Não encontrado")</f>
        <v>Outro</v>
      </c>
      <c r="E29" s="6" t="str">
        <f>IFERROR(VLOOKUP(A29,base_fiis_inv10!$A$1:$C$282,3,FALSE),"Não encontrado")</f>
        <v>Fundo de Infraestrutura (FI-Infra)</v>
      </c>
      <c r="F29" s="7" t="s">
        <v>2753</v>
      </c>
    </row>
    <row r="30" spans="1:6" x14ac:dyDescent="0.3">
      <c r="A30" t="s">
        <v>2687</v>
      </c>
      <c r="B30" t="s">
        <v>2688</v>
      </c>
      <c r="C30" t="s">
        <v>2689</v>
      </c>
      <c r="D30" s="6" t="str">
        <f>IFERROR(VLOOKUP(A30,base_fiis_inv10!$A$1:$C$282,2,FALSE),"Não encontrado")</f>
        <v>Outro</v>
      </c>
      <c r="E30" s="6" t="str">
        <f>IFERROR(VLOOKUP(A30,base_fiis_inv10!$A$1:$C$282,3,FALSE),"Não encontrado")</f>
        <v>Fundo de Infraestrutura (FI-Infra)</v>
      </c>
      <c r="F30" s="7" t="s">
        <v>2753</v>
      </c>
    </row>
    <row r="31" spans="1:6" x14ac:dyDescent="0.3">
      <c r="A31" t="s">
        <v>2690</v>
      </c>
      <c r="B31" t="s">
        <v>2691</v>
      </c>
      <c r="C31" t="s">
        <v>2692</v>
      </c>
      <c r="D31" s="6" t="str">
        <f>IFERROR(VLOOKUP(A31,base_fiis_inv10!$A$1:$C$282,2,FALSE),"Não encontrado")</f>
        <v>Outro</v>
      </c>
      <c r="E31" s="6" t="str">
        <f>IFERROR(VLOOKUP(A31,base_fiis_inv10!$A$1:$C$282,3,FALSE),"Não encontrado")</f>
        <v>Fundo de Infraestrutura (FI-Infra)</v>
      </c>
      <c r="F31" s="7" t="s">
        <v>2753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C282"/>
  <sheetViews>
    <sheetView workbookViewId="0"/>
  </sheetViews>
  <sheetFormatPr defaultRowHeight="14.4" x14ac:dyDescent="0.3"/>
  <cols>
    <col min="1" max="1" width="12.33203125" customWidth="1"/>
    <col min="2" max="2" width="28.5546875" customWidth="1"/>
    <col min="3" max="3" width="39.44140625" bestFit="1" customWidth="1"/>
  </cols>
  <sheetData>
    <row r="1" spans="1:3" x14ac:dyDescent="0.3">
      <c r="A1" s="5" t="s">
        <v>2706</v>
      </c>
      <c r="B1" s="5" t="s">
        <v>2707</v>
      </c>
      <c r="C1" s="5" t="s">
        <v>3</v>
      </c>
    </row>
    <row r="2" spans="1:3" x14ac:dyDescent="0.3">
      <c r="A2" s="6" t="s">
        <v>2220</v>
      </c>
      <c r="B2" s="6" t="s">
        <v>2712</v>
      </c>
      <c r="C2" s="6" t="s">
        <v>122</v>
      </c>
    </row>
    <row r="3" spans="1:3" x14ac:dyDescent="0.3">
      <c r="A3" s="6" t="s">
        <v>2190</v>
      </c>
      <c r="B3" s="6" t="s">
        <v>2713</v>
      </c>
      <c r="C3" s="6" t="s">
        <v>2710</v>
      </c>
    </row>
    <row r="4" spans="1:3" x14ac:dyDescent="0.3">
      <c r="A4" s="6" t="s">
        <v>2588</v>
      </c>
      <c r="B4" s="6" t="s">
        <v>2714</v>
      </c>
      <c r="C4" s="6" t="s">
        <v>2711</v>
      </c>
    </row>
    <row r="5" spans="1:3" x14ac:dyDescent="0.3">
      <c r="A5" s="6" t="s">
        <v>1718</v>
      </c>
      <c r="B5" s="6" t="s">
        <v>2708</v>
      </c>
      <c r="C5" s="6" t="s">
        <v>122</v>
      </c>
    </row>
    <row r="6" spans="1:3" x14ac:dyDescent="0.3">
      <c r="A6" s="6" t="s">
        <v>1316</v>
      </c>
      <c r="B6" s="6" t="s">
        <v>2715</v>
      </c>
      <c r="C6" s="6" t="s">
        <v>2709</v>
      </c>
    </row>
    <row r="7" spans="1:3" x14ac:dyDescent="0.3">
      <c r="A7" s="6" t="s">
        <v>2663</v>
      </c>
      <c r="B7" s="6" t="s">
        <v>2714</v>
      </c>
      <c r="C7" s="6" t="s">
        <v>2716</v>
      </c>
    </row>
    <row r="8" spans="1:3" x14ac:dyDescent="0.3">
      <c r="A8" s="6" t="s">
        <v>2269</v>
      </c>
      <c r="B8" s="6" t="s">
        <v>2714</v>
      </c>
      <c r="C8" s="6" t="s">
        <v>122</v>
      </c>
    </row>
    <row r="9" spans="1:3" x14ac:dyDescent="0.3">
      <c r="A9" s="6" t="s">
        <v>1601</v>
      </c>
      <c r="B9" s="6" t="s">
        <v>2714</v>
      </c>
      <c r="C9" s="6" t="s">
        <v>2709</v>
      </c>
    </row>
    <row r="10" spans="1:3" x14ac:dyDescent="0.3">
      <c r="A10" s="6" t="s">
        <v>1503</v>
      </c>
      <c r="B10" s="6" t="s">
        <v>2712</v>
      </c>
      <c r="C10" s="6" t="s">
        <v>2710</v>
      </c>
    </row>
    <row r="11" spans="1:3" x14ac:dyDescent="0.3">
      <c r="A11" s="6" t="s">
        <v>2542</v>
      </c>
      <c r="B11" s="6" t="s">
        <v>2714</v>
      </c>
      <c r="C11" s="6" t="s">
        <v>2711</v>
      </c>
    </row>
    <row r="12" spans="1:3" x14ac:dyDescent="0.3">
      <c r="A12" s="6" t="s">
        <v>2560</v>
      </c>
      <c r="B12" s="6" t="s">
        <v>2714</v>
      </c>
      <c r="C12" s="6" t="s">
        <v>2711</v>
      </c>
    </row>
    <row r="13" spans="1:3" x14ac:dyDescent="0.3">
      <c r="A13" s="6" t="s">
        <v>1470</v>
      </c>
      <c r="B13" s="6" t="s">
        <v>2712</v>
      </c>
      <c r="C13" s="6" t="s">
        <v>2699</v>
      </c>
    </row>
    <row r="14" spans="1:3" x14ac:dyDescent="0.3">
      <c r="A14" s="6" t="s">
        <v>1488</v>
      </c>
      <c r="B14" s="6" t="s">
        <v>2713</v>
      </c>
      <c r="C14" s="6" t="s">
        <v>2699</v>
      </c>
    </row>
    <row r="15" spans="1:3" x14ac:dyDescent="0.3">
      <c r="A15" s="6" t="s">
        <v>2323</v>
      </c>
      <c r="B15" s="6" t="s">
        <v>2714</v>
      </c>
      <c r="C15" s="6" t="s">
        <v>2709</v>
      </c>
    </row>
    <row r="16" spans="1:3" x14ac:dyDescent="0.3">
      <c r="A16" s="6" t="s">
        <v>1859</v>
      </c>
      <c r="B16" s="6" t="s">
        <v>2708</v>
      </c>
      <c r="C16" s="6" t="s">
        <v>2710</v>
      </c>
    </row>
    <row r="17" spans="1:3" x14ac:dyDescent="0.3">
      <c r="A17" s="6" t="s">
        <v>2567</v>
      </c>
      <c r="B17" s="6" t="s">
        <v>2714</v>
      </c>
      <c r="C17" s="6" t="s">
        <v>2711</v>
      </c>
    </row>
    <row r="18" spans="1:3" x14ac:dyDescent="0.3">
      <c r="A18" s="6" t="s">
        <v>1694</v>
      </c>
      <c r="B18" s="6" t="s">
        <v>2713</v>
      </c>
      <c r="C18" s="6" t="s">
        <v>2717</v>
      </c>
    </row>
    <row r="19" spans="1:3" x14ac:dyDescent="0.3">
      <c r="A19" s="6" t="s">
        <v>1608</v>
      </c>
      <c r="B19" s="6" t="s">
        <v>2713</v>
      </c>
      <c r="C19" s="6" t="s">
        <v>2699</v>
      </c>
    </row>
    <row r="20" spans="1:3" x14ac:dyDescent="0.3">
      <c r="A20" s="6" t="s">
        <v>2726</v>
      </c>
      <c r="B20" s="6" t="s">
        <v>2712</v>
      </c>
      <c r="C20" s="6" t="s">
        <v>122</v>
      </c>
    </row>
    <row r="21" spans="1:3" x14ac:dyDescent="0.3">
      <c r="A21" s="6" t="s">
        <v>2672</v>
      </c>
      <c r="B21" s="6" t="s">
        <v>2714</v>
      </c>
      <c r="C21" s="6" t="s">
        <v>2716</v>
      </c>
    </row>
    <row r="22" spans="1:3" x14ac:dyDescent="0.3">
      <c r="A22" s="6" t="s">
        <v>2678</v>
      </c>
      <c r="B22" s="6" t="s">
        <v>2714</v>
      </c>
      <c r="C22" s="6" t="s">
        <v>2716</v>
      </c>
    </row>
    <row r="23" spans="1:3" x14ac:dyDescent="0.3">
      <c r="A23" s="6" t="s">
        <v>1929</v>
      </c>
      <c r="B23" s="6" t="s">
        <v>2708</v>
      </c>
      <c r="C23" s="6" t="s">
        <v>2710</v>
      </c>
    </row>
    <row r="24" spans="1:3" x14ac:dyDescent="0.3">
      <c r="A24" s="6" t="s">
        <v>1651</v>
      </c>
      <c r="B24" s="6" t="s">
        <v>2708</v>
      </c>
      <c r="C24" s="6" t="s">
        <v>2709</v>
      </c>
    </row>
    <row r="25" spans="1:3" x14ac:dyDescent="0.3">
      <c r="A25" s="6" t="s">
        <v>1838</v>
      </c>
      <c r="B25" s="6" t="s">
        <v>2715</v>
      </c>
      <c r="C25" s="6" t="s">
        <v>2709</v>
      </c>
    </row>
    <row r="26" spans="1:3" x14ac:dyDescent="0.3">
      <c r="A26" s="6" t="s">
        <v>2037</v>
      </c>
      <c r="B26" s="6" t="s">
        <v>2713</v>
      </c>
      <c r="C26" s="6" t="s">
        <v>2717</v>
      </c>
    </row>
    <row r="27" spans="1:3" x14ac:dyDescent="0.3">
      <c r="A27" s="6" t="s">
        <v>2564</v>
      </c>
      <c r="B27" s="6" t="s">
        <v>2708</v>
      </c>
      <c r="C27" s="6" t="s">
        <v>2711</v>
      </c>
    </row>
    <row r="28" spans="1:3" x14ac:dyDescent="0.3">
      <c r="A28" s="6" t="s">
        <v>2284</v>
      </c>
      <c r="B28" s="6" t="s">
        <v>2718</v>
      </c>
      <c r="C28" s="6" t="s">
        <v>2710</v>
      </c>
    </row>
    <row r="29" spans="1:3" x14ac:dyDescent="0.3">
      <c r="A29" s="6" t="s">
        <v>2133</v>
      </c>
      <c r="B29" s="6" t="s">
        <v>2712</v>
      </c>
      <c r="C29" s="6" t="s">
        <v>2710</v>
      </c>
    </row>
    <row r="30" spans="1:3" x14ac:dyDescent="0.3">
      <c r="A30" s="6" t="s">
        <v>1515</v>
      </c>
      <c r="B30" s="6" t="s">
        <v>2715</v>
      </c>
      <c r="C30" s="6" t="s">
        <v>2710</v>
      </c>
    </row>
    <row r="31" spans="1:3" x14ac:dyDescent="0.3">
      <c r="A31" s="6" t="s">
        <v>2010</v>
      </c>
      <c r="B31" s="6" t="s">
        <v>2713</v>
      </c>
      <c r="C31" s="6" t="s">
        <v>2699</v>
      </c>
    </row>
    <row r="32" spans="1:3" x14ac:dyDescent="0.3">
      <c r="A32" s="6" t="s">
        <v>1787</v>
      </c>
      <c r="B32" s="6" t="s">
        <v>2712</v>
      </c>
      <c r="C32" s="6" t="s">
        <v>2710</v>
      </c>
    </row>
    <row r="33" spans="1:3" x14ac:dyDescent="0.3">
      <c r="A33" s="6" t="s">
        <v>2196</v>
      </c>
      <c r="B33" s="6" t="s">
        <v>2715</v>
      </c>
      <c r="C33" s="6" t="s">
        <v>2709</v>
      </c>
    </row>
    <row r="34" spans="1:3" x14ac:dyDescent="0.3">
      <c r="A34" s="6" t="s">
        <v>2727</v>
      </c>
      <c r="B34" s="6" t="s">
        <v>2718</v>
      </c>
      <c r="C34" s="6" t="s">
        <v>2710</v>
      </c>
    </row>
    <row r="35" spans="1:3" x14ac:dyDescent="0.3">
      <c r="A35" s="6" t="s">
        <v>2684</v>
      </c>
      <c r="B35" s="6" t="s">
        <v>2714</v>
      </c>
      <c r="C35" s="6" t="s">
        <v>2716</v>
      </c>
    </row>
    <row r="36" spans="1:3" x14ac:dyDescent="0.3">
      <c r="A36" s="6" t="s">
        <v>2518</v>
      </c>
      <c r="B36" s="6" t="s">
        <v>2714</v>
      </c>
      <c r="C36" s="6" t="s">
        <v>2711</v>
      </c>
    </row>
    <row r="37" spans="1:3" x14ac:dyDescent="0.3">
      <c r="A37" s="6" t="s">
        <v>2217</v>
      </c>
      <c r="B37" s="6" t="s">
        <v>2708</v>
      </c>
      <c r="C37" s="6" t="s">
        <v>2709</v>
      </c>
    </row>
    <row r="38" spans="1:3" x14ac:dyDescent="0.3">
      <c r="A38" s="6" t="s">
        <v>2728</v>
      </c>
      <c r="B38" s="6" t="s">
        <v>2708</v>
      </c>
      <c r="C38" s="6" t="s">
        <v>2709</v>
      </c>
    </row>
    <row r="39" spans="1:3" x14ac:dyDescent="0.3">
      <c r="A39" s="6" t="s">
        <v>1346</v>
      </c>
      <c r="B39" s="6" t="s">
        <v>2712</v>
      </c>
      <c r="C39" s="6" t="s">
        <v>2710</v>
      </c>
    </row>
    <row r="40" spans="1:3" x14ac:dyDescent="0.3">
      <c r="A40" s="6" t="s">
        <v>1604</v>
      </c>
      <c r="B40" s="6" t="s">
        <v>2713</v>
      </c>
      <c r="C40" s="6" t="s">
        <v>2710</v>
      </c>
    </row>
    <row r="41" spans="1:3" x14ac:dyDescent="0.3">
      <c r="A41" s="6" t="s">
        <v>2073</v>
      </c>
      <c r="B41" s="6" t="s">
        <v>2712</v>
      </c>
      <c r="C41" s="6" t="s">
        <v>2710</v>
      </c>
    </row>
    <row r="42" spans="1:3" x14ac:dyDescent="0.3">
      <c r="A42" s="6" t="s">
        <v>2076</v>
      </c>
      <c r="B42" s="6" t="s">
        <v>2718</v>
      </c>
      <c r="C42" s="6" t="s">
        <v>2710</v>
      </c>
    </row>
    <row r="43" spans="1:3" x14ac:dyDescent="0.3">
      <c r="A43" s="6" t="s">
        <v>2465</v>
      </c>
      <c r="B43" s="6" t="s">
        <v>2715</v>
      </c>
      <c r="C43" s="6" t="s">
        <v>2709</v>
      </c>
    </row>
    <row r="44" spans="1:3" x14ac:dyDescent="0.3">
      <c r="A44" s="6" t="s">
        <v>1558</v>
      </c>
      <c r="B44" s="6" t="s">
        <v>2708</v>
      </c>
      <c r="C44" s="6" t="s">
        <v>122</v>
      </c>
    </row>
    <row r="45" spans="1:3" x14ac:dyDescent="0.3">
      <c r="A45" s="6" t="s">
        <v>2278</v>
      </c>
      <c r="B45" s="6" t="s">
        <v>2715</v>
      </c>
      <c r="C45" s="6" t="s">
        <v>2709</v>
      </c>
    </row>
    <row r="46" spans="1:3" x14ac:dyDescent="0.3">
      <c r="A46" s="6" t="s">
        <v>1874</v>
      </c>
      <c r="B46" s="6" t="s">
        <v>2708</v>
      </c>
      <c r="C46" s="6" t="s">
        <v>2709</v>
      </c>
    </row>
    <row r="47" spans="1:3" x14ac:dyDescent="0.3">
      <c r="A47" s="6" t="s">
        <v>2729</v>
      </c>
      <c r="B47" s="6" t="s">
        <v>2718</v>
      </c>
      <c r="C47" s="6" t="s">
        <v>122</v>
      </c>
    </row>
    <row r="48" spans="1:3" x14ac:dyDescent="0.3">
      <c r="A48" s="6" t="s">
        <v>2034</v>
      </c>
      <c r="B48" s="6" t="s">
        <v>2708</v>
      </c>
      <c r="C48" s="6" t="s">
        <v>2710</v>
      </c>
    </row>
    <row r="49" spans="1:3" x14ac:dyDescent="0.3">
      <c r="A49" s="6" t="s">
        <v>1636</v>
      </c>
      <c r="B49" s="6" t="s">
        <v>2713</v>
      </c>
      <c r="C49" s="6" t="s">
        <v>2717</v>
      </c>
    </row>
    <row r="50" spans="1:3" x14ac:dyDescent="0.3">
      <c r="A50" s="6" t="s">
        <v>1733</v>
      </c>
      <c r="B50" s="6" t="s">
        <v>2712</v>
      </c>
      <c r="C50" s="6" t="s">
        <v>2699</v>
      </c>
    </row>
    <row r="51" spans="1:3" x14ac:dyDescent="0.3">
      <c r="A51" s="6" t="s">
        <v>2512</v>
      </c>
      <c r="B51" s="6" t="s">
        <v>2714</v>
      </c>
      <c r="C51" s="6" t="s">
        <v>2711</v>
      </c>
    </row>
    <row r="52" spans="1:3" x14ac:dyDescent="0.3">
      <c r="A52" s="6" t="s">
        <v>1362</v>
      </c>
      <c r="B52" s="6" t="s">
        <v>2715</v>
      </c>
      <c r="C52" s="6" t="s">
        <v>2709</v>
      </c>
    </row>
    <row r="53" spans="1:3" x14ac:dyDescent="0.3">
      <c r="A53" s="6" t="s">
        <v>1778</v>
      </c>
      <c r="B53" s="6" t="s">
        <v>2713</v>
      </c>
      <c r="C53" s="6" t="s">
        <v>2719</v>
      </c>
    </row>
    <row r="54" spans="1:3" x14ac:dyDescent="0.3">
      <c r="A54" s="6" t="s">
        <v>2730</v>
      </c>
      <c r="B54" s="6" t="s">
        <v>2714</v>
      </c>
      <c r="C54" s="6" t="s">
        <v>2711</v>
      </c>
    </row>
    <row r="55" spans="1:3" x14ac:dyDescent="0.3">
      <c r="A55" s="6" t="s">
        <v>2320</v>
      </c>
      <c r="B55" s="6" t="s">
        <v>2714</v>
      </c>
      <c r="C55" s="6" t="s">
        <v>2699</v>
      </c>
    </row>
    <row r="56" spans="1:3" x14ac:dyDescent="0.3">
      <c r="A56" s="6" t="s">
        <v>2413</v>
      </c>
      <c r="B56" s="6" t="s">
        <v>2708</v>
      </c>
      <c r="C56" s="6" t="s">
        <v>122</v>
      </c>
    </row>
    <row r="57" spans="1:3" x14ac:dyDescent="0.3">
      <c r="A57" s="6" t="s">
        <v>2435</v>
      </c>
      <c r="B57" s="6" t="s">
        <v>2718</v>
      </c>
      <c r="C57" s="6" t="s">
        <v>2710</v>
      </c>
    </row>
    <row r="58" spans="1:3" x14ac:dyDescent="0.3">
      <c r="A58" s="6" t="s">
        <v>2690</v>
      </c>
      <c r="B58" s="6" t="s">
        <v>2714</v>
      </c>
      <c r="C58" s="6" t="s">
        <v>2716</v>
      </c>
    </row>
    <row r="59" spans="1:3" x14ac:dyDescent="0.3">
      <c r="A59" s="6" t="s">
        <v>2013</v>
      </c>
      <c r="B59" s="6" t="s">
        <v>2713</v>
      </c>
      <c r="C59" s="6" t="s">
        <v>2720</v>
      </c>
    </row>
    <row r="60" spans="1:3" x14ac:dyDescent="0.3">
      <c r="A60" s="6" t="s">
        <v>1416</v>
      </c>
      <c r="B60" s="6" t="s">
        <v>2715</v>
      </c>
      <c r="C60" s="6" t="s">
        <v>2709</v>
      </c>
    </row>
    <row r="61" spans="1:3" x14ac:dyDescent="0.3">
      <c r="A61" s="6" t="s">
        <v>2624</v>
      </c>
      <c r="B61" s="6" t="s">
        <v>2712</v>
      </c>
      <c r="C61" s="6" t="s">
        <v>2716</v>
      </c>
    </row>
    <row r="62" spans="1:3" x14ac:dyDescent="0.3">
      <c r="A62" s="6" t="s">
        <v>2557</v>
      </c>
      <c r="B62" s="6" t="s">
        <v>2714</v>
      </c>
      <c r="C62" s="6" t="s">
        <v>2711</v>
      </c>
    </row>
    <row r="63" spans="1:3" x14ac:dyDescent="0.3">
      <c r="A63" s="6" t="s">
        <v>1935</v>
      </c>
      <c r="B63" s="6" t="s">
        <v>2714</v>
      </c>
      <c r="C63" s="6" t="s">
        <v>122</v>
      </c>
    </row>
    <row r="64" spans="1:3" x14ac:dyDescent="0.3">
      <c r="A64" s="6" t="s">
        <v>1757</v>
      </c>
      <c r="B64" s="6" t="s">
        <v>2713</v>
      </c>
      <c r="C64" s="6" t="s">
        <v>2699</v>
      </c>
    </row>
    <row r="65" spans="1:3" x14ac:dyDescent="0.3">
      <c r="A65" s="6" t="s">
        <v>2362</v>
      </c>
      <c r="B65" s="6" t="s">
        <v>2713</v>
      </c>
      <c r="C65" s="6" t="s">
        <v>122</v>
      </c>
    </row>
    <row r="66" spans="1:3" x14ac:dyDescent="0.3">
      <c r="A66" s="6" t="s">
        <v>2428</v>
      </c>
      <c r="B66" s="6" t="s">
        <v>2718</v>
      </c>
      <c r="C66" s="6" t="s">
        <v>2710</v>
      </c>
    </row>
    <row r="67" spans="1:3" x14ac:dyDescent="0.3">
      <c r="A67" s="6" t="s">
        <v>1739</v>
      </c>
      <c r="B67" s="6" t="s">
        <v>2713</v>
      </c>
      <c r="C67" s="6" t="s">
        <v>2717</v>
      </c>
    </row>
    <row r="68" spans="1:3" x14ac:dyDescent="0.3">
      <c r="A68" s="6" t="s">
        <v>2503</v>
      </c>
      <c r="B68" s="6" t="s">
        <v>2714</v>
      </c>
      <c r="C68" s="6" t="s">
        <v>2711</v>
      </c>
    </row>
    <row r="69" spans="1:3" x14ac:dyDescent="0.3">
      <c r="A69" s="6" t="s">
        <v>2731</v>
      </c>
      <c r="B69" s="6" t="s">
        <v>2714</v>
      </c>
      <c r="C69" s="6" t="s">
        <v>2721</v>
      </c>
    </row>
    <row r="70" spans="1:3" x14ac:dyDescent="0.3">
      <c r="A70" s="6" t="s">
        <v>2732</v>
      </c>
      <c r="B70" s="6" t="s">
        <v>2714</v>
      </c>
      <c r="C70" s="6" t="s">
        <v>2721</v>
      </c>
    </row>
    <row r="71" spans="1:3" x14ac:dyDescent="0.3">
      <c r="A71" s="6" t="s">
        <v>2700</v>
      </c>
      <c r="B71" s="6" t="s">
        <v>2713</v>
      </c>
      <c r="C71" s="6" t="s">
        <v>2717</v>
      </c>
    </row>
    <row r="72" spans="1:3" x14ac:dyDescent="0.3">
      <c r="A72" s="6" t="s">
        <v>2106</v>
      </c>
      <c r="B72" s="6" t="s">
        <v>2713</v>
      </c>
      <c r="C72" s="6" t="s">
        <v>2722</v>
      </c>
    </row>
    <row r="73" spans="1:3" x14ac:dyDescent="0.3">
      <c r="A73" s="6" t="s">
        <v>2109</v>
      </c>
      <c r="B73" s="6" t="s">
        <v>2715</v>
      </c>
      <c r="C73" s="6" t="s">
        <v>2709</v>
      </c>
    </row>
    <row r="74" spans="1:3" x14ac:dyDescent="0.3">
      <c r="A74" s="6" t="s">
        <v>1539</v>
      </c>
      <c r="B74" s="6" t="s">
        <v>2713</v>
      </c>
      <c r="C74" s="6" t="s">
        <v>2723</v>
      </c>
    </row>
    <row r="75" spans="1:3" x14ac:dyDescent="0.3">
      <c r="A75" s="6" t="s">
        <v>1681</v>
      </c>
      <c r="B75" s="6" t="s">
        <v>2708</v>
      </c>
      <c r="C75" s="6" t="s">
        <v>122</v>
      </c>
    </row>
    <row r="76" spans="1:3" x14ac:dyDescent="0.3">
      <c r="A76" s="6" t="s">
        <v>1398</v>
      </c>
      <c r="B76" s="6" t="s">
        <v>2713</v>
      </c>
      <c r="C76" s="6" t="s">
        <v>122</v>
      </c>
    </row>
    <row r="77" spans="1:3" x14ac:dyDescent="0.3">
      <c r="A77" s="6" t="s">
        <v>2395</v>
      </c>
      <c r="B77" s="6" t="s">
        <v>2718</v>
      </c>
      <c r="C77" s="6" t="s">
        <v>122</v>
      </c>
    </row>
    <row r="78" spans="1:3" x14ac:dyDescent="0.3">
      <c r="A78" s="6" t="s">
        <v>1790</v>
      </c>
      <c r="B78" s="6" t="s">
        <v>2708</v>
      </c>
      <c r="C78" s="6" t="s">
        <v>2709</v>
      </c>
    </row>
    <row r="79" spans="1:3" x14ac:dyDescent="0.3">
      <c r="A79" s="6" t="s">
        <v>1512</v>
      </c>
      <c r="B79" s="6" t="s">
        <v>2713</v>
      </c>
      <c r="C79" s="6" t="s">
        <v>2699</v>
      </c>
    </row>
    <row r="80" spans="1:3" x14ac:dyDescent="0.3">
      <c r="A80" s="6" t="s">
        <v>1633</v>
      </c>
      <c r="B80" s="6" t="s">
        <v>2713</v>
      </c>
      <c r="C80" s="6" t="s">
        <v>2719</v>
      </c>
    </row>
    <row r="81" spans="1:3" x14ac:dyDescent="0.3">
      <c r="A81" s="6" t="s">
        <v>1772</v>
      </c>
      <c r="B81" s="6" t="s">
        <v>2713</v>
      </c>
      <c r="C81" s="6" t="s">
        <v>2699</v>
      </c>
    </row>
    <row r="82" spans="1:3" x14ac:dyDescent="0.3">
      <c r="A82" s="6" t="s">
        <v>1853</v>
      </c>
      <c r="B82" s="6" t="s">
        <v>2715</v>
      </c>
      <c r="C82" s="6" t="s">
        <v>2709</v>
      </c>
    </row>
    <row r="83" spans="1:3" x14ac:dyDescent="0.3">
      <c r="A83" s="6" t="s">
        <v>1868</v>
      </c>
      <c r="B83" s="6" t="s">
        <v>2708</v>
      </c>
      <c r="C83" s="6" t="s">
        <v>2709</v>
      </c>
    </row>
    <row r="84" spans="1:3" x14ac:dyDescent="0.3">
      <c r="A84" s="6" t="s">
        <v>2606</v>
      </c>
      <c r="B84" s="6" t="s">
        <v>2714</v>
      </c>
      <c r="C84" s="6" t="s">
        <v>2716</v>
      </c>
    </row>
    <row r="85" spans="1:3" x14ac:dyDescent="0.3">
      <c r="A85" s="6" t="s">
        <v>2489</v>
      </c>
      <c r="B85" s="6" t="s">
        <v>2714</v>
      </c>
      <c r="C85" s="6" t="s">
        <v>2711</v>
      </c>
    </row>
    <row r="86" spans="1:3" x14ac:dyDescent="0.3">
      <c r="A86" s="6" t="s">
        <v>2548</v>
      </c>
      <c r="B86" s="6" t="s">
        <v>2714</v>
      </c>
      <c r="C86" s="6" t="s">
        <v>2711</v>
      </c>
    </row>
    <row r="87" spans="1:3" x14ac:dyDescent="0.3">
      <c r="A87" s="6" t="s">
        <v>1748</v>
      </c>
      <c r="B87" s="6" t="s">
        <v>2715</v>
      </c>
      <c r="C87" s="6" t="s">
        <v>2709</v>
      </c>
    </row>
    <row r="88" spans="1:3" x14ac:dyDescent="0.3">
      <c r="A88" s="6" t="s">
        <v>1392</v>
      </c>
      <c r="B88" s="6" t="s">
        <v>2718</v>
      </c>
      <c r="C88" s="6" t="s">
        <v>2699</v>
      </c>
    </row>
    <row r="89" spans="1:3" x14ac:dyDescent="0.3">
      <c r="A89" s="6" t="s">
        <v>2498</v>
      </c>
      <c r="B89" s="6" t="s">
        <v>2714</v>
      </c>
      <c r="C89" s="6" t="s">
        <v>2711</v>
      </c>
    </row>
    <row r="90" spans="1:3" x14ac:dyDescent="0.3">
      <c r="A90" s="6" t="s">
        <v>2687</v>
      </c>
      <c r="B90" s="6" t="s">
        <v>2714</v>
      </c>
      <c r="C90" s="6" t="s">
        <v>2716</v>
      </c>
    </row>
    <row r="91" spans="1:3" x14ac:dyDescent="0.3">
      <c r="A91" s="6" t="s">
        <v>2359</v>
      </c>
      <c r="B91" s="6" t="s">
        <v>2708</v>
      </c>
      <c r="C91" s="6" t="s">
        <v>2709</v>
      </c>
    </row>
    <row r="92" spans="1:3" x14ac:dyDescent="0.3">
      <c r="A92" s="6" t="s">
        <v>2304</v>
      </c>
      <c r="B92" s="6" t="s">
        <v>2714</v>
      </c>
      <c r="C92" s="6" t="s">
        <v>2710</v>
      </c>
    </row>
    <row r="93" spans="1:3" x14ac:dyDescent="0.3">
      <c r="A93" s="6" t="s">
        <v>2416</v>
      </c>
      <c r="B93" s="6" t="s">
        <v>2713</v>
      </c>
      <c r="C93" s="6" t="s">
        <v>2717</v>
      </c>
    </row>
    <row r="94" spans="1:3" x14ac:dyDescent="0.3">
      <c r="A94" s="6" t="s">
        <v>2492</v>
      </c>
      <c r="B94" s="6" t="s">
        <v>2714</v>
      </c>
      <c r="C94" s="6" t="s">
        <v>2711</v>
      </c>
    </row>
    <row r="95" spans="1:3" x14ac:dyDescent="0.3">
      <c r="A95" s="6" t="s">
        <v>1886</v>
      </c>
      <c r="B95" s="6" t="s">
        <v>2708</v>
      </c>
      <c r="C95" s="6" t="s">
        <v>2709</v>
      </c>
    </row>
    <row r="96" spans="1:3" x14ac:dyDescent="0.3">
      <c r="A96" s="6" t="s">
        <v>1313</v>
      </c>
      <c r="B96" s="6" t="s">
        <v>2708</v>
      </c>
      <c r="C96" s="6" t="s">
        <v>2709</v>
      </c>
    </row>
    <row r="97" spans="1:3" x14ac:dyDescent="0.3">
      <c r="A97" s="6" t="s">
        <v>2112</v>
      </c>
      <c r="B97" s="6" t="s">
        <v>2708</v>
      </c>
      <c r="C97" s="6" t="s">
        <v>2709</v>
      </c>
    </row>
    <row r="98" spans="1:3" x14ac:dyDescent="0.3">
      <c r="A98" s="6" t="s">
        <v>2733</v>
      </c>
      <c r="B98" s="6" t="s">
        <v>2713</v>
      </c>
      <c r="C98" s="6" t="s">
        <v>2710</v>
      </c>
    </row>
    <row r="99" spans="1:3" x14ac:dyDescent="0.3">
      <c r="A99" s="6" t="s">
        <v>2733</v>
      </c>
      <c r="B99" s="6" t="s">
        <v>2713</v>
      </c>
      <c r="C99" s="6" t="s">
        <v>2710</v>
      </c>
    </row>
    <row r="100" spans="1:3" x14ac:dyDescent="0.3">
      <c r="A100" s="6" t="s">
        <v>1712</v>
      </c>
      <c r="B100" s="6" t="s">
        <v>2718</v>
      </c>
      <c r="C100" s="6" t="s">
        <v>2699</v>
      </c>
    </row>
    <row r="101" spans="1:3" x14ac:dyDescent="0.3">
      <c r="A101" s="6" t="s">
        <v>2055</v>
      </c>
      <c r="B101" s="6" t="s">
        <v>2708</v>
      </c>
      <c r="C101" s="6" t="s">
        <v>2709</v>
      </c>
    </row>
    <row r="102" spans="1:3" x14ac:dyDescent="0.3">
      <c r="A102" s="6" t="s">
        <v>1546</v>
      </c>
      <c r="B102" s="6" t="s">
        <v>2715</v>
      </c>
      <c r="C102" s="6" t="s">
        <v>2724</v>
      </c>
    </row>
    <row r="103" spans="1:3" x14ac:dyDescent="0.3">
      <c r="A103" s="6" t="s">
        <v>1337</v>
      </c>
      <c r="B103" s="6" t="s">
        <v>2708</v>
      </c>
      <c r="C103" s="6" t="s">
        <v>2709</v>
      </c>
    </row>
    <row r="104" spans="1:3" x14ac:dyDescent="0.3">
      <c r="A104" s="6" t="s">
        <v>2115</v>
      </c>
      <c r="B104" s="6" t="s">
        <v>2708</v>
      </c>
      <c r="C104" s="6" t="s">
        <v>2709</v>
      </c>
    </row>
    <row r="105" spans="1:3" x14ac:dyDescent="0.3">
      <c r="A105" s="6" t="s">
        <v>1368</v>
      </c>
      <c r="B105" s="6" t="s">
        <v>2713</v>
      </c>
      <c r="C105" s="6" t="s">
        <v>2723</v>
      </c>
    </row>
    <row r="106" spans="1:3" x14ac:dyDescent="0.3">
      <c r="A106" s="6" t="s">
        <v>2244</v>
      </c>
      <c r="B106" s="6" t="s">
        <v>2708</v>
      </c>
      <c r="C106" s="6" t="s">
        <v>2709</v>
      </c>
    </row>
    <row r="107" spans="1:3" x14ac:dyDescent="0.3">
      <c r="A107" s="6" t="s">
        <v>2696</v>
      </c>
      <c r="B107" s="6" t="s">
        <v>2708</v>
      </c>
      <c r="C107" s="6" t="s">
        <v>2709</v>
      </c>
    </row>
    <row r="108" spans="1:3" x14ac:dyDescent="0.3">
      <c r="A108" s="6" t="s">
        <v>1561</v>
      </c>
      <c r="B108" s="6" t="s">
        <v>2713</v>
      </c>
      <c r="C108" s="6" t="s">
        <v>2717</v>
      </c>
    </row>
    <row r="109" spans="1:3" x14ac:dyDescent="0.3">
      <c r="A109" s="6" t="s">
        <v>2001</v>
      </c>
      <c r="B109" s="6" t="s">
        <v>2708</v>
      </c>
      <c r="C109" s="6" t="s">
        <v>2709</v>
      </c>
    </row>
    <row r="110" spans="1:3" x14ac:dyDescent="0.3">
      <c r="A110" s="6" t="s">
        <v>2422</v>
      </c>
      <c r="B110" s="6" t="s">
        <v>2713</v>
      </c>
      <c r="C110" s="6" t="s">
        <v>2699</v>
      </c>
    </row>
    <row r="111" spans="1:3" x14ac:dyDescent="0.3">
      <c r="A111" s="6" t="s">
        <v>1380</v>
      </c>
      <c r="B111" s="6" t="s">
        <v>2715</v>
      </c>
      <c r="C111" s="6" t="s">
        <v>2709</v>
      </c>
    </row>
    <row r="112" spans="1:3" x14ac:dyDescent="0.3">
      <c r="A112" s="6" t="s">
        <v>2527</v>
      </c>
      <c r="B112" s="6" t="s">
        <v>2714</v>
      </c>
      <c r="C112" s="6" t="s">
        <v>2711</v>
      </c>
    </row>
    <row r="113" spans="1:3" x14ac:dyDescent="0.3">
      <c r="A113" s="6" t="s">
        <v>1458</v>
      </c>
      <c r="B113" s="6" t="s">
        <v>2713</v>
      </c>
      <c r="C113" s="6" t="s">
        <v>2710</v>
      </c>
    </row>
    <row r="114" spans="1:3" x14ac:dyDescent="0.3">
      <c r="A114" s="6" t="s">
        <v>2031</v>
      </c>
      <c r="B114" s="6" t="s">
        <v>2715</v>
      </c>
      <c r="C114" s="6" t="s">
        <v>2709</v>
      </c>
    </row>
    <row r="115" spans="1:3" x14ac:dyDescent="0.3">
      <c r="A115" s="6" t="s">
        <v>2064</v>
      </c>
      <c r="B115" s="6" t="s">
        <v>2714</v>
      </c>
      <c r="C115" s="6" t="s">
        <v>2710</v>
      </c>
    </row>
    <row r="116" spans="1:3" x14ac:dyDescent="0.3">
      <c r="A116" s="6" t="s">
        <v>2118</v>
      </c>
      <c r="B116" s="6" t="s">
        <v>2712</v>
      </c>
      <c r="C116" s="6" t="s">
        <v>122</v>
      </c>
    </row>
    <row r="117" spans="1:3" x14ac:dyDescent="0.3">
      <c r="A117" s="6" t="s">
        <v>1617</v>
      </c>
      <c r="B117" s="6" t="s">
        <v>2708</v>
      </c>
      <c r="C117" s="6" t="s">
        <v>2709</v>
      </c>
    </row>
    <row r="118" spans="1:3" x14ac:dyDescent="0.3">
      <c r="A118" s="6" t="s">
        <v>2238</v>
      </c>
      <c r="B118" s="6" t="s">
        <v>2708</v>
      </c>
      <c r="C118" s="6" t="s">
        <v>2709</v>
      </c>
    </row>
    <row r="119" spans="1:3" x14ac:dyDescent="0.3">
      <c r="A119" s="6" t="s">
        <v>2734</v>
      </c>
      <c r="B119" s="6" t="s">
        <v>2708</v>
      </c>
      <c r="C119" s="6" t="s">
        <v>122</v>
      </c>
    </row>
    <row r="120" spans="1:3" x14ac:dyDescent="0.3">
      <c r="A120" s="6" t="s">
        <v>1437</v>
      </c>
      <c r="B120" s="6" t="s">
        <v>2718</v>
      </c>
      <c r="C120" s="6" t="s">
        <v>122</v>
      </c>
    </row>
    <row r="121" spans="1:3" x14ac:dyDescent="0.3">
      <c r="A121" s="6" t="s">
        <v>1688</v>
      </c>
      <c r="B121" s="6" t="s">
        <v>2708</v>
      </c>
      <c r="C121" s="6" t="s">
        <v>2709</v>
      </c>
    </row>
    <row r="122" spans="1:3" x14ac:dyDescent="0.3">
      <c r="A122" s="6" t="s">
        <v>1552</v>
      </c>
      <c r="B122" s="6" t="s">
        <v>2715</v>
      </c>
      <c r="C122" s="6" t="s">
        <v>2710</v>
      </c>
    </row>
    <row r="123" spans="1:3" x14ac:dyDescent="0.3">
      <c r="A123" s="6" t="s">
        <v>1365</v>
      </c>
      <c r="B123" s="6" t="s">
        <v>2713</v>
      </c>
      <c r="C123" s="6" t="s">
        <v>2719</v>
      </c>
    </row>
    <row r="124" spans="1:3" x14ac:dyDescent="0.3">
      <c r="A124" s="6" t="s">
        <v>2704</v>
      </c>
      <c r="B124" s="6" t="s">
        <v>2714</v>
      </c>
      <c r="C124" s="6" t="s">
        <v>2721</v>
      </c>
    </row>
    <row r="125" spans="1:3" x14ac:dyDescent="0.3">
      <c r="A125" s="6" t="s">
        <v>2142</v>
      </c>
      <c r="B125" s="6" t="s">
        <v>2713</v>
      </c>
      <c r="C125" s="6" t="s">
        <v>122</v>
      </c>
    </row>
    <row r="126" spans="1:3" x14ac:dyDescent="0.3">
      <c r="A126" s="6" t="s">
        <v>1419</v>
      </c>
      <c r="B126" s="6" t="s">
        <v>2713</v>
      </c>
      <c r="C126" s="6" t="s">
        <v>2719</v>
      </c>
    </row>
    <row r="127" spans="1:3" x14ac:dyDescent="0.3">
      <c r="A127" s="6" t="s">
        <v>1524</v>
      </c>
      <c r="B127" s="6" t="s">
        <v>2713</v>
      </c>
      <c r="C127" s="6" t="s">
        <v>2719</v>
      </c>
    </row>
    <row r="128" spans="1:3" x14ac:dyDescent="0.3">
      <c r="A128" s="6" t="s">
        <v>2594</v>
      </c>
      <c r="B128" s="6" t="s">
        <v>2714</v>
      </c>
      <c r="C128" s="6" t="s">
        <v>2711</v>
      </c>
    </row>
    <row r="129" spans="1:3" x14ac:dyDescent="0.3">
      <c r="A129" s="6" t="s">
        <v>2389</v>
      </c>
      <c r="B129" s="6" t="s">
        <v>2713</v>
      </c>
      <c r="C129" s="6" t="s">
        <v>2699</v>
      </c>
    </row>
    <row r="130" spans="1:3" x14ac:dyDescent="0.3">
      <c r="A130" s="6" t="s">
        <v>1799</v>
      </c>
      <c r="B130" s="6" t="s">
        <v>2718</v>
      </c>
      <c r="C130" s="6" t="s">
        <v>2710</v>
      </c>
    </row>
    <row r="131" spans="1:3" x14ac:dyDescent="0.3">
      <c r="A131" s="6" t="s">
        <v>2181</v>
      </c>
      <c r="B131" s="6" t="s">
        <v>2714</v>
      </c>
      <c r="C131" s="6" t="s">
        <v>2710</v>
      </c>
    </row>
    <row r="132" spans="1:3" x14ac:dyDescent="0.3">
      <c r="A132" s="6" t="s">
        <v>2082</v>
      </c>
      <c r="B132" s="6" t="s">
        <v>2713</v>
      </c>
      <c r="C132" s="6" t="s">
        <v>2717</v>
      </c>
    </row>
    <row r="133" spans="1:3" x14ac:dyDescent="0.3">
      <c r="A133" s="6" t="s">
        <v>2447</v>
      </c>
      <c r="B133" s="6" t="s">
        <v>2708</v>
      </c>
      <c r="C133" s="6" t="s">
        <v>2709</v>
      </c>
    </row>
    <row r="134" spans="1:3" x14ac:dyDescent="0.3">
      <c r="A134" s="6" t="s">
        <v>1709</v>
      </c>
      <c r="B134" s="6" t="s">
        <v>2708</v>
      </c>
      <c r="C134" s="6" t="s">
        <v>2709</v>
      </c>
    </row>
    <row r="135" spans="1:3" x14ac:dyDescent="0.3">
      <c r="A135" s="6" t="s">
        <v>2229</v>
      </c>
      <c r="B135" s="6" t="s">
        <v>2708</v>
      </c>
      <c r="C135" s="6" t="s">
        <v>2709</v>
      </c>
    </row>
    <row r="136" spans="1:3" x14ac:dyDescent="0.3">
      <c r="A136" s="6" t="s">
        <v>2226</v>
      </c>
      <c r="B136" s="6" t="s">
        <v>2715</v>
      </c>
      <c r="C136" s="6" t="s">
        <v>2709</v>
      </c>
    </row>
    <row r="137" spans="1:3" x14ac:dyDescent="0.3">
      <c r="A137" s="6" t="s">
        <v>2172</v>
      </c>
      <c r="B137" s="6" t="s">
        <v>2713</v>
      </c>
      <c r="C137" s="6" t="s">
        <v>2699</v>
      </c>
    </row>
    <row r="138" spans="1:3" x14ac:dyDescent="0.3">
      <c r="A138" s="6" t="s">
        <v>2453</v>
      </c>
      <c r="B138" s="6" t="s">
        <v>2713</v>
      </c>
      <c r="C138" s="6" t="s">
        <v>122</v>
      </c>
    </row>
    <row r="139" spans="1:3" x14ac:dyDescent="0.3">
      <c r="A139" s="6" t="s">
        <v>1491</v>
      </c>
      <c r="B139" s="6" t="s">
        <v>2718</v>
      </c>
      <c r="C139" s="6" t="s">
        <v>122</v>
      </c>
    </row>
    <row r="140" spans="1:3" x14ac:dyDescent="0.3">
      <c r="A140" s="6" t="s">
        <v>2136</v>
      </c>
      <c r="B140" s="6" t="s">
        <v>2713</v>
      </c>
      <c r="C140" s="6" t="s">
        <v>2717</v>
      </c>
    </row>
    <row r="141" spans="1:3" x14ac:dyDescent="0.3">
      <c r="A141" s="6" t="s">
        <v>1446</v>
      </c>
      <c r="B141" s="6" t="s">
        <v>2713</v>
      </c>
      <c r="C141" s="6" t="s">
        <v>122</v>
      </c>
    </row>
    <row r="142" spans="1:3" x14ac:dyDescent="0.3">
      <c r="A142" s="6" t="s">
        <v>1865</v>
      </c>
      <c r="B142" s="6" t="s">
        <v>2708</v>
      </c>
      <c r="C142" s="6" t="s">
        <v>2709</v>
      </c>
    </row>
    <row r="143" spans="1:3" x14ac:dyDescent="0.3">
      <c r="A143" s="6" t="s">
        <v>1974</v>
      </c>
      <c r="B143" s="6" t="s">
        <v>2712</v>
      </c>
      <c r="C143" s="6" t="s">
        <v>2710</v>
      </c>
    </row>
    <row r="144" spans="1:3" x14ac:dyDescent="0.3">
      <c r="A144" s="6" t="s">
        <v>2701</v>
      </c>
      <c r="B144" s="6" t="s">
        <v>2714</v>
      </c>
      <c r="C144" s="6" t="s">
        <v>2710</v>
      </c>
    </row>
    <row r="145" spans="1:3" x14ac:dyDescent="0.3">
      <c r="A145" s="6" t="s">
        <v>2576</v>
      </c>
      <c r="B145" s="6" t="s">
        <v>2714</v>
      </c>
      <c r="C145" s="6" t="s">
        <v>2711</v>
      </c>
    </row>
    <row r="146" spans="1:3" x14ac:dyDescent="0.3">
      <c r="A146" s="6" t="s">
        <v>2329</v>
      </c>
      <c r="B146" s="6" t="s">
        <v>2713</v>
      </c>
      <c r="C146" s="6" t="s">
        <v>2717</v>
      </c>
    </row>
    <row r="147" spans="1:3" x14ac:dyDescent="0.3">
      <c r="A147" s="6" t="s">
        <v>1880</v>
      </c>
      <c r="B147" s="6" t="s">
        <v>2715</v>
      </c>
      <c r="C147" s="6" t="s">
        <v>2709</v>
      </c>
    </row>
    <row r="148" spans="1:3" x14ac:dyDescent="0.3">
      <c r="A148" s="6" t="s">
        <v>2585</v>
      </c>
      <c r="B148" s="6" t="s">
        <v>2714</v>
      </c>
      <c r="C148" s="6" t="s">
        <v>2711</v>
      </c>
    </row>
    <row r="149" spans="1:3" x14ac:dyDescent="0.3">
      <c r="A149" s="6" t="s">
        <v>2262</v>
      </c>
      <c r="B149" s="6" t="s">
        <v>2713</v>
      </c>
      <c r="C149" s="6" t="s">
        <v>2719</v>
      </c>
    </row>
    <row r="150" spans="1:3" x14ac:dyDescent="0.3">
      <c r="A150" s="6" t="s">
        <v>2705</v>
      </c>
      <c r="B150" s="6" t="s">
        <v>2714</v>
      </c>
      <c r="C150" s="6" t="s">
        <v>2721</v>
      </c>
    </row>
    <row r="151" spans="1:3" x14ac:dyDescent="0.3">
      <c r="A151" s="6" t="s">
        <v>1841</v>
      </c>
      <c r="B151" s="6" t="s">
        <v>2718</v>
      </c>
      <c r="C151" s="6" t="s">
        <v>2709</v>
      </c>
    </row>
    <row r="152" spans="1:3" x14ac:dyDescent="0.3">
      <c r="A152" s="6" t="s">
        <v>2612</v>
      </c>
      <c r="B152" s="6" t="s">
        <v>2714</v>
      </c>
      <c r="C152" s="6" t="s">
        <v>2716</v>
      </c>
    </row>
    <row r="153" spans="1:3" x14ac:dyDescent="0.3">
      <c r="A153" s="6" t="s">
        <v>1377</v>
      </c>
      <c r="B153" s="6" t="s">
        <v>2708</v>
      </c>
      <c r="C153" s="6" t="s">
        <v>2709</v>
      </c>
    </row>
    <row r="154" spans="1:3" x14ac:dyDescent="0.3">
      <c r="A154" s="6" t="s">
        <v>1627</v>
      </c>
      <c r="B154" s="6" t="s">
        <v>2713</v>
      </c>
      <c r="C154" s="6" t="s">
        <v>2699</v>
      </c>
    </row>
    <row r="155" spans="1:3" x14ac:dyDescent="0.3">
      <c r="A155" s="6" t="s">
        <v>1521</v>
      </c>
      <c r="B155" s="6" t="s">
        <v>2718</v>
      </c>
      <c r="C155" s="6" t="s">
        <v>2710</v>
      </c>
    </row>
    <row r="156" spans="1:3" x14ac:dyDescent="0.3">
      <c r="A156" s="6" t="s">
        <v>2609</v>
      </c>
      <c r="B156" s="6" t="s">
        <v>2714</v>
      </c>
      <c r="C156" s="6" t="s">
        <v>2716</v>
      </c>
    </row>
    <row r="157" spans="1:3" x14ac:dyDescent="0.3">
      <c r="A157" s="6" t="s">
        <v>2049</v>
      </c>
      <c r="B157" s="6" t="s">
        <v>2713</v>
      </c>
      <c r="C157" s="6" t="s">
        <v>2717</v>
      </c>
    </row>
    <row r="158" spans="1:3" x14ac:dyDescent="0.3">
      <c r="A158" s="6" t="s">
        <v>1518</v>
      </c>
      <c r="B158" s="6" t="s">
        <v>2718</v>
      </c>
      <c r="C158" s="6" t="s">
        <v>2717</v>
      </c>
    </row>
    <row r="159" spans="1:3" x14ac:dyDescent="0.3">
      <c r="A159" s="6" t="s">
        <v>2735</v>
      </c>
      <c r="B159" s="6" t="s">
        <v>2713</v>
      </c>
      <c r="C159" s="6" t="s">
        <v>2699</v>
      </c>
    </row>
    <row r="160" spans="1:3" x14ac:dyDescent="0.3">
      <c r="A160" s="6" t="s">
        <v>2736</v>
      </c>
      <c r="B160" s="6" t="s">
        <v>2713</v>
      </c>
      <c r="C160" s="6" t="s">
        <v>2717</v>
      </c>
    </row>
    <row r="161" spans="1:3" x14ac:dyDescent="0.3">
      <c r="A161" s="6" t="s">
        <v>1769</v>
      </c>
      <c r="B161" s="6" t="s">
        <v>2713</v>
      </c>
      <c r="C161" s="6" t="s">
        <v>2717</v>
      </c>
    </row>
    <row r="162" spans="1:3" x14ac:dyDescent="0.3">
      <c r="A162" s="6" t="s">
        <v>2591</v>
      </c>
      <c r="B162" s="6" t="s">
        <v>2714</v>
      </c>
      <c r="C162" s="6" t="s">
        <v>2711</v>
      </c>
    </row>
    <row r="163" spans="1:3" x14ac:dyDescent="0.3">
      <c r="A163" s="6" t="s">
        <v>2247</v>
      </c>
      <c r="B163" s="6" t="s">
        <v>2718</v>
      </c>
      <c r="C163" s="6" t="s">
        <v>2710</v>
      </c>
    </row>
    <row r="164" spans="1:3" x14ac:dyDescent="0.3">
      <c r="A164" s="6" t="s">
        <v>1784</v>
      </c>
      <c r="B164" s="6" t="s">
        <v>2708</v>
      </c>
      <c r="C164" s="6" t="s">
        <v>2709</v>
      </c>
    </row>
    <row r="165" spans="1:3" x14ac:dyDescent="0.3">
      <c r="A165" s="6" t="s">
        <v>2654</v>
      </c>
      <c r="B165" s="6" t="s">
        <v>2714</v>
      </c>
      <c r="C165" s="6" t="s">
        <v>2716</v>
      </c>
    </row>
    <row r="166" spans="1:3" x14ac:dyDescent="0.3">
      <c r="A166" s="6" t="s">
        <v>2600</v>
      </c>
      <c r="B166" s="6" t="s">
        <v>2714</v>
      </c>
      <c r="C166" s="6" t="s">
        <v>2711</v>
      </c>
    </row>
    <row r="167" spans="1:3" x14ac:dyDescent="0.3">
      <c r="A167" s="6" t="s">
        <v>2275</v>
      </c>
      <c r="B167" s="6" t="s">
        <v>2714</v>
      </c>
      <c r="C167" s="6" t="s">
        <v>122</v>
      </c>
    </row>
    <row r="168" spans="1:3" x14ac:dyDescent="0.3">
      <c r="A168" s="6" t="s">
        <v>2407</v>
      </c>
      <c r="B168" s="6" t="s">
        <v>2714</v>
      </c>
      <c r="C168" s="6" t="s">
        <v>2710</v>
      </c>
    </row>
    <row r="169" spans="1:3" x14ac:dyDescent="0.3">
      <c r="A169" s="6" t="s">
        <v>1301</v>
      </c>
      <c r="B169" s="6" t="s">
        <v>2708</v>
      </c>
      <c r="C169" s="6" t="s">
        <v>2709</v>
      </c>
    </row>
    <row r="170" spans="1:3" x14ac:dyDescent="0.3">
      <c r="A170" s="6" t="s">
        <v>2737</v>
      </c>
      <c r="B170" s="6" t="s">
        <v>2714</v>
      </c>
      <c r="C170" s="6" t="s">
        <v>2721</v>
      </c>
    </row>
    <row r="171" spans="1:3" x14ac:dyDescent="0.3">
      <c r="A171" s="6" t="s">
        <v>1630</v>
      </c>
      <c r="B171" s="6" t="s">
        <v>2713</v>
      </c>
      <c r="C171" s="6" t="s">
        <v>2722</v>
      </c>
    </row>
    <row r="172" spans="1:3" x14ac:dyDescent="0.3">
      <c r="A172" s="6" t="s">
        <v>2232</v>
      </c>
      <c r="B172" s="6" t="s">
        <v>2713</v>
      </c>
      <c r="C172" s="6" t="s">
        <v>2710</v>
      </c>
    </row>
    <row r="173" spans="1:3" x14ac:dyDescent="0.3">
      <c r="A173" s="6" t="s">
        <v>1509</v>
      </c>
      <c r="B173" s="6" t="s">
        <v>2708</v>
      </c>
      <c r="C173" s="6" t="s">
        <v>2709</v>
      </c>
    </row>
    <row r="174" spans="1:3" x14ac:dyDescent="0.3">
      <c r="A174" s="6" t="s">
        <v>2515</v>
      </c>
      <c r="B174" s="6" t="s">
        <v>2714</v>
      </c>
      <c r="C174" s="6" t="s">
        <v>2711</v>
      </c>
    </row>
    <row r="175" spans="1:3" x14ac:dyDescent="0.3">
      <c r="A175" s="6" t="s">
        <v>2314</v>
      </c>
      <c r="B175" s="6" t="s">
        <v>2713</v>
      </c>
      <c r="C175" s="6" t="s">
        <v>2699</v>
      </c>
    </row>
    <row r="176" spans="1:3" x14ac:dyDescent="0.3">
      <c r="A176" s="6" t="s">
        <v>2272</v>
      </c>
      <c r="B176" s="6" t="s">
        <v>2714</v>
      </c>
      <c r="C176" s="6" t="s">
        <v>2709</v>
      </c>
    </row>
    <row r="177" spans="1:3" x14ac:dyDescent="0.3">
      <c r="A177" s="6" t="s">
        <v>1802</v>
      </c>
      <c r="B177" s="6" t="s">
        <v>2713</v>
      </c>
      <c r="C177" s="6" t="s">
        <v>2725</v>
      </c>
    </row>
    <row r="178" spans="1:3" x14ac:dyDescent="0.3">
      <c r="A178" s="6" t="s">
        <v>2738</v>
      </c>
      <c r="B178" s="6" t="s">
        <v>2714</v>
      </c>
      <c r="C178" s="6" t="s">
        <v>2721</v>
      </c>
    </row>
    <row r="179" spans="1:3" x14ac:dyDescent="0.3">
      <c r="A179" s="6" t="s">
        <v>2199</v>
      </c>
      <c r="B179" s="6" t="s">
        <v>2714</v>
      </c>
      <c r="C179" s="6" t="s">
        <v>2709</v>
      </c>
    </row>
    <row r="180" spans="1:3" x14ac:dyDescent="0.3">
      <c r="A180" s="6" t="s">
        <v>1926</v>
      </c>
      <c r="B180" s="6" t="s">
        <v>2714</v>
      </c>
      <c r="C180" s="6" t="s">
        <v>122</v>
      </c>
    </row>
    <row r="181" spans="1:3" x14ac:dyDescent="0.3">
      <c r="A181" s="6" t="s">
        <v>1817</v>
      </c>
      <c r="B181" s="6" t="s">
        <v>2708</v>
      </c>
      <c r="C181" s="6" t="s">
        <v>2709</v>
      </c>
    </row>
    <row r="182" spans="1:3" x14ac:dyDescent="0.3">
      <c r="A182" s="6" t="s">
        <v>1304</v>
      </c>
      <c r="B182" s="6" t="s">
        <v>2713</v>
      </c>
      <c r="C182" s="6" t="s">
        <v>2699</v>
      </c>
    </row>
    <row r="183" spans="1:3" x14ac:dyDescent="0.3">
      <c r="A183" s="6" t="s">
        <v>2739</v>
      </c>
      <c r="B183" s="6" t="s">
        <v>2714</v>
      </c>
      <c r="C183" s="6" t="s">
        <v>2721</v>
      </c>
    </row>
    <row r="184" spans="1:3" x14ac:dyDescent="0.3">
      <c r="A184" s="6" t="s">
        <v>1374</v>
      </c>
      <c r="B184" s="6" t="s">
        <v>2715</v>
      </c>
      <c r="C184" s="6" t="s">
        <v>2709</v>
      </c>
    </row>
    <row r="185" spans="1:3" x14ac:dyDescent="0.3">
      <c r="A185" s="6" t="s">
        <v>1917</v>
      </c>
      <c r="B185" s="6" t="s">
        <v>2713</v>
      </c>
      <c r="C185" s="6" t="s">
        <v>2719</v>
      </c>
    </row>
    <row r="186" spans="1:3" x14ac:dyDescent="0.3">
      <c r="A186" s="6" t="s">
        <v>1549</v>
      </c>
      <c r="B186" s="6" t="s">
        <v>2713</v>
      </c>
      <c r="C186" s="6" t="s">
        <v>2699</v>
      </c>
    </row>
    <row r="187" spans="1:3" x14ac:dyDescent="0.3">
      <c r="A187" s="6" t="s">
        <v>1461</v>
      </c>
      <c r="B187" s="6" t="s">
        <v>2714</v>
      </c>
      <c r="C187" s="6" t="s">
        <v>2711</v>
      </c>
    </row>
    <row r="188" spans="1:3" x14ac:dyDescent="0.3">
      <c r="A188" s="6" t="s">
        <v>2380</v>
      </c>
      <c r="B188" s="6" t="s">
        <v>2713</v>
      </c>
      <c r="C188" s="6" t="s">
        <v>2710</v>
      </c>
    </row>
    <row r="189" spans="1:3" x14ac:dyDescent="0.3">
      <c r="A189" s="6" t="s">
        <v>2740</v>
      </c>
      <c r="B189" s="6" t="s">
        <v>2714</v>
      </c>
      <c r="C189" s="6" t="s">
        <v>2711</v>
      </c>
    </row>
    <row r="190" spans="1:3" x14ac:dyDescent="0.3">
      <c r="A190" s="6" t="s">
        <v>2741</v>
      </c>
      <c r="B190" s="6" t="s">
        <v>2714</v>
      </c>
      <c r="C190" s="6" t="s">
        <v>2721</v>
      </c>
    </row>
    <row r="191" spans="1:3" x14ac:dyDescent="0.3">
      <c r="A191" s="6" t="s">
        <v>2007</v>
      </c>
      <c r="B191" s="6" t="s">
        <v>2713</v>
      </c>
      <c r="C191" s="6" t="s">
        <v>2710</v>
      </c>
    </row>
    <row r="192" spans="1:3" x14ac:dyDescent="0.3">
      <c r="A192" s="6" t="s">
        <v>1355</v>
      </c>
      <c r="B192" s="6" t="s">
        <v>2708</v>
      </c>
      <c r="C192" s="6" t="s">
        <v>2709</v>
      </c>
    </row>
    <row r="193" spans="1:3" x14ac:dyDescent="0.3">
      <c r="A193" s="6" t="s">
        <v>1482</v>
      </c>
      <c r="B193" s="6" t="s">
        <v>2708</v>
      </c>
      <c r="C193" s="6" t="s">
        <v>2710</v>
      </c>
    </row>
    <row r="194" spans="1:3" x14ac:dyDescent="0.3">
      <c r="A194" s="6" t="s">
        <v>2079</v>
      </c>
      <c r="B194" s="6" t="s">
        <v>2708</v>
      </c>
      <c r="C194" s="6" t="s">
        <v>2709</v>
      </c>
    </row>
    <row r="195" spans="1:3" x14ac:dyDescent="0.3">
      <c r="A195" s="6" t="s">
        <v>2702</v>
      </c>
      <c r="B195" s="6" t="s">
        <v>2718</v>
      </c>
      <c r="C195" s="6" t="s">
        <v>2717</v>
      </c>
    </row>
    <row r="196" spans="1:3" x14ac:dyDescent="0.3">
      <c r="A196" s="6" t="s">
        <v>2335</v>
      </c>
      <c r="B196" s="6" t="s">
        <v>2712</v>
      </c>
      <c r="C196" s="6" t="s">
        <v>2710</v>
      </c>
    </row>
    <row r="197" spans="1:3" x14ac:dyDescent="0.3">
      <c r="A197" s="6" t="s">
        <v>1883</v>
      </c>
      <c r="B197" s="6" t="s">
        <v>2715</v>
      </c>
      <c r="C197" s="6" t="s">
        <v>2709</v>
      </c>
    </row>
    <row r="198" spans="1:3" x14ac:dyDescent="0.3">
      <c r="A198" s="6" t="s">
        <v>1950</v>
      </c>
      <c r="B198" s="6" t="s">
        <v>2714</v>
      </c>
      <c r="C198" s="6" t="s">
        <v>2709</v>
      </c>
    </row>
    <row r="199" spans="1:3" x14ac:dyDescent="0.3">
      <c r="A199" s="6" t="s">
        <v>2085</v>
      </c>
      <c r="B199" s="6" t="s">
        <v>2713</v>
      </c>
      <c r="C199" s="6" t="s">
        <v>2719</v>
      </c>
    </row>
    <row r="200" spans="1:3" x14ac:dyDescent="0.3">
      <c r="A200" s="6" t="s">
        <v>1307</v>
      </c>
      <c r="B200" s="6" t="s">
        <v>2713</v>
      </c>
      <c r="C200" s="6" t="s">
        <v>2719</v>
      </c>
    </row>
    <row r="201" spans="1:3" x14ac:dyDescent="0.3">
      <c r="A201" s="6" t="s">
        <v>1328</v>
      </c>
      <c r="B201" s="6" t="s">
        <v>2713</v>
      </c>
      <c r="C201" s="6" t="s">
        <v>2719</v>
      </c>
    </row>
    <row r="202" spans="1:3" x14ac:dyDescent="0.3">
      <c r="A202" s="6" t="s">
        <v>2214</v>
      </c>
      <c r="B202" s="6" t="s">
        <v>2708</v>
      </c>
      <c r="C202" s="6" t="s">
        <v>2710</v>
      </c>
    </row>
    <row r="203" spans="1:3" x14ac:dyDescent="0.3">
      <c r="A203" s="6" t="s">
        <v>1889</v>
      </c>
      <c r="B203" s="6" t="s">
        <v>2708</v>
      </c>
      <c r="C203" s="6" t="s">
        <v>2709</v>
      </c>
    </row>
    <row r="204" spans="1:3" x14ac:dyDescent="0.3">
      <c r="A204" s="6" t="s">
        <v>1899</v>
      </c>
      <c r="B204" s="6" t="s">
        <v>2708</v>
      </c>
      <c r="C204" s="6" t="s">
        <v>2709</v>
      </c>
    </row>
    <row r="205" spans="1:3" x14ac:dyDescent="0.3">
      <c r="A205" s="6" t="s">
        <v>2648</v>
      </c>
      <c r="B205" s="6" t="s">
        <v>2714</v>
      </c>
      <c r="C205" s="6" t="s">
        <v>2716</v>
      </c>
    </row>
    <row r="206" spans="1:3" x14ac:dyDescent="0.3">
      <c r="A206" s="6" t="s">
        <v>1754</v>
      </c>
      <c r="B206" s="6" t="s">
        <v>2713</v>
      </c>
      <c r="C206" s="6" t="s">
        <v>2717</v>
      </c>
    </row>
    <row r="207" spans="1:3" x14ac:dyDescent="0.3">
      <c r="A207" s="6" t="s">
        <v>2642</v>
      </c>
      <c r="B207" s="6" t="s">
        <v>2714</v>
      </c>
      <c r="C207" s="6" t="s">
        <v>2716</v>
      </c>
    </row>
    <row r="208" spans="1:3" x14ac:dyDescent="0.3">
      <c r="A208" s="6" t="s">
        <v>2459</v>
      </c>
      <c r="B208" s="6" t="s">
        <v>2713</v>
      </c>
      <c r="C208" s="6" t="s">
        <v>2719</v>
      </c>
    </row>
    <row r="209" spans="1:3" x14ac:dyDescent="0.3">
      <c r="A209" s="6" t="s">
        <v>1455</v>
      </c>
      <c r="B209" s="6" t="s">
        <v>2713</v>
      </c>
      <c r="C209" s="6" t="s">
        <v>2717</v>
      </c>
    </row>
    <row r="210" spans="1:3" x14ac:dyDescent="0.3">
      <c r="A210" s="6" t="s">
        <v>1905</v>
      </c>
      <c r="B210" s="6" t="s">
        <v>2713</v>
      </c>
      <c r="C210" s="6" t="s">
        <v>2710</v>
      </c>
    </row>
    <row r="211" spans="1:3" x14ac:dyDescent="0.3">
      <c r="A211" s="6" t="s">
        <v>1995</v>
      </c>
      <c r="B211" s="6" t="s">
        <v>2708</v>
      </c>
      <c r="C211" s="6" t="s">
        <v>2710</v>
      </c>
    </row>
    <row r="212" spans="1:3" x14ac:dyDescent="0.3">
      <c r="A212" s="6" t="s">
        <v>2456</v>
      </c>
      <c r="B212" s="6" t="s">
        <v>2713</v>
      </c>
      <c r="C212" s="6" t="s">
        <v>2717</v>
      </c>
    </row>
    <row r="213" spans="1:3" x14ac:dyDescent="0.3">
      <c r="A213" s="6" t="s">
        <v>1672</v>
      </c>
      <c r="B213" s="6" t="s">
        <v>2714</v>
      </c>
      <c r="C213" s="6" t="s">
        <v>2710</v>
      </c>
    </row>
    <row r="214" spans="1:3" x14ac:dyDescent="0.3">
      <c r="A214" s="6" t="s">
        <v>2651</v>
      </c>
      <c r="B214" s="6" t="s">
        <v>2714</v>
      </c>
      <c r="C214" s="6" t="s">
        <v>2716</v>
      </c>
    </row>
    <row r="215" spans="1:3" x14ac:dyDescent="0.3">
      <c r="A215" s="6" t="s">
        <v>2392</v>
      </c>
      <c r="B215" s="6" t="s">
        <v>2713</v>
      </c>
      <c r="C215" s="6" t="s">
        <v>2719</v>
      </c>
    </row>
    <row r="216" spans="1:3" x14ac:dyDescent="0.3">
      <c r="A216" s="6" t="s">
        <v>2338</v>
      </c>
      <c r="B216" s="6" t="s">
        <v>2713</v>
      </c>
      <c r="C216" s="6" t="s">
        <v>2710</v>
      </c>
    </row>
    <row r="217" spans="1:3" x14ac:dyDescent="0.3">
      <c r="A217" s="6" t="s">
        <v>1527</v>
      </c>
      <c r="B217" s="6" t="s">
        <v>2708</v>
      </c>
      <c r="C217" s="6" t="s">
        <v>2709</v>
      </c>
    </row>
    <row r="218" spans="1:3" x14ac:dyDescent="0.3">
      <c r="A218" s="6" t="s">
        <v>1895</v>
      </c>
      <c r="B218" s="6" t="s">
        <v>2708</v>
      </c>
      <c r="C218" s="6" t="s">
        <v>2709</v>
      </c>
    </row>
    <row r="219" spans="1:3" x14ac:dyDescent="0.3">
      <c r="A219" s="6" t="s">
        <v>1763</v>
      </c>
      <c r="B219" s="6" t="s">
        <v>2718</v>
      </c>
      <c r="C219" s="6" t="s">
        <v>2710</v>
      </c>
    </row>
    <row r="220" spans="1:3" x14ac:dyDescent="0.3">
      <c r="A220" s="6" t="s">
        <v>1829</v>
      </c>
      <c r="B220" s="6" t="s">
        <v>2708</v>
      </c>
      <c r="C220" s="6" t="s">
        <v>2710</v>
      </c>
    </row>
    <row r="221" spans="1:3" x14ac:dyDescent="0.3">
      <c r="A221" s="6" t="s">
        <v>1826</v>
      </c>
      <c r="B221" s="6" t="s">
        <v>2708</v>
      </c>
      <c r="C221" s="6" t="s">
        <v>2709</v>
      </c>
    </row>
    <row r="222" spans="1:3" x14ac:dyDescent="0.3">
      <c r="A222" s="6" t="s">
        <v>2097</v>
      </c>
      <c r="B222" s="6" t="s">
        <v>2713</v>
      </c>
      <c r="C222" s="6" t="s">
        <v>2699</v>
      </c>
    </row>
    <row r="223" spans="1:3" x14ac:dyDescent="0.3">
      <c r="A223" s="6" t="s">
        <v>2615</v>
      </c>
      <c r="B223" s="6" t="s">
        <v>2714</v>
      </c>
      <c r="C223" s="6" t="s">
        <v>2716</v>
      </c>
    </row>
    <row r="224" spans="1:3" x14ac:dyDescent="0.3">
      <c r="A224" s="6" t="s">
        <v>1742</v>
      </c>
      <c r="B224" s="6" t="s">
        <v>2713</v>
      </c>
      <c r="C224" s="6" t="s">
        <v>2719</v>
      </c>
    </row>
    <row r="225" spans="1:3" x14ac:dyDescent="0.3">
      <c r="A225" s="6" t="s">
        <v>2660</v>
      </c>
      <c r="B225" s="6" t="s">
        <v>2714</v>
      </c>
      <c r="C225" s="6" t="s">
        <v>2716</v>
      </c>
    </row>
    <row r="226" spans="1:3" x14ac:dyDescent="0.3">
      <c r="A226" s="6" t="s">
        <v>2317</v>
      </c>
      <c r="B226" s="6" t="s">
        <v>2712</v>
      </c>
      <c r="C226" s="6" t="s">
        <v>2710</v>
      </c>
    </row>
    <row r="227" spans="1:3" x14ac:dyDescent="0.3">
      <c r="A227" s="6" t="s">
        <v>1691</v>
      </c>
      <c r="B227" s="6" t="s">
        <v>2713</v>
      </c>
      <c r="C227" s="6" t="s">
        <v>2717</v>
      </c>
    </row>
    <row r="228" spans="1:3" x14ac:dyDescent="0.3">
      <c r="A228" s="6" t="s">
        <v>2178</v>
      </c>
      <c r="B228" s="6" t="s">
        <v>2708</v>
      </c>
      <c r="C228" s="6" t="s">
        <v>2709</v>
      </c>
    </row>
    <row r="229" spans="1:3" x14ac:dyDescent="0.3">
      <c r="A229" s="6" t="s">
        <v>1727</v>
      </c>
      <c r="B229" s="6" t="s">
        <v>2708</v>
      </c>
      <c r="C229" s="6" t="s">
        <v>2709</v>
      </c>
    </row>
    <row r="230" spans="1:3" x14ac:dyDescent="0.3">
      <c r="A230" s="6" t="s">
        <v>1428</v>
      </c>
      <c r="B230" s="6" t="s">
        <v>2713</v>
      </c>
      <c r="C230" s="6" t="s">
        <v>2710</v>
      </c>
    </row>
    <row r="231" spans="1:3" x14ac:dyDescent="0.3">
      <c r="A231" s="6" t="s">
        <v>1796</v>
      </c>
      <c r="B231" s="6" t="s">
        <v>2713</v>
      </c>
      <c r="C231" s="6" t="s">
        <v>2719</v>
      </c>
    </row>
    <row r="232" spans="1:3" x14ac:dyDescent="0.3">
      <c r="A232" s="6" t="s">
        <v>2554</v>
      </c>
      <c r="B232" s="6" t="s">
        <v>2714</v>
      </c>
      <c r="C232" s="6" t="s">
        <v>2711</v>
      </c>
    </row>
    <row r="233" spans="1:3" x14ac:dyDescent="0.3">
      <c r="A233" s="6" t="s">
        <v>1911</v>
      </c>
      <c r="B233" s="6" t="s">
        <v>2708</v>
      </c>
      <c r="C233" s="6" t="s">
        <v>2709</v>
      </c>
    </row>
    <row r="234" spans="1:3" x14ac:dyDescent="0.3">
      <c r="A234" s="6" t="s">
        <v>1871</v>
      </c>
      <c r="B234" s="6" t="s">
        <v>2714</v>
      </c>
      <c r="C234" s="6" t="s">
        <v>2710</v>
      </c>
    </row>
    <row r="235" spans="1:3" x14ac:dyDescent="0.3">
      <c r="A235" s="6" t="s">
        <v>1684</v>
      </c>
      <c r="B235" s="6" t="s">
        <v>2713</v>
      </c>
      <c r="C235" s="6" t="s">
        <v>2710</v>
      </c>
    </row>
    <row r="236" spans="1:3" x14ac:dyDescent="0.3">
      <c r="A236" s="6" t="s">
        <v>2695</v>
      </c>
      <c r="B236" s="6" t="s">
        <v>2708</v>
      </c>
      <c r="C236" s="6" t="s">
        <v>2710</v>
      </c>
    </row>
    <row r="237" spans="1:3" x14ac:dyDescent="0.3">
      <c r="A237" s="6" t="s">
        <v>1425</v>
      </c>
      <c r="B237" s="6" t="s">
        <v>2713</v>
      </c>
      <c r="C237" s="6" t="s">
        <v>2717</v>
      </c>
    </row>
    <row r="238" spans="1:3" x14ac:dyDescent="0.3">
      <c r="A238" s="6" t="s">
        <v>2657</v>
      </c>
      <c r="B238" s="6" t="s">
        <v>2714</v>
      </c>
      <c r="C238" s="6" t="s">
        <v>2716</v>
      </c>
    </row>
    <row r="239" spans="1:3" x14ac:dyDescent="0.3">
      <c r="A239" s="6" t="s">
        <v>1892</v>
      </c>
      <c r="B239" s="6" t="s">
        <v>2718</v>
      </c>
      <c r="C239" s="6" t="s">
        <v>2710</v>
      </c>
    </row>
    <row r="240" spans="1:3" x14ac:dyDescent="0.3">
      <c r="A240" s="6" t="s">
        <v>1703</v>
      </c>
      <c r="B240" s="6" t="s">
        <v>2718</v>
      </c>
      <c r="C240" s="6" t="s">
        <v>2710</v>
      </c>
    </row>
    <row r="241" spans="1:3" x14ac:dyDescent="0.3">
      <c r="A241" s="6" t="s">
        <v>1944</v>
      </c>
      <c r="B241" s="6" t="s">
        <v>2713</v>
      </c>
      <c r="C241" s="6" t="s">
        <v>2717</v>
      </c>
    </row>
    <row r="242" spans="1:3" x14ac:dyDescent="0.3">
      <c r="A242" s="6" t="s">
        <v>2235</v>
      </c>
      <c r="B242" s="6" t="s">
        <v>2714</v>
      </c>
      <c r="C242" s="6" t="s">
        <v>2710</v>
      </c>
    </row>
    <row r="243" spans="1:3" x14ac:dyDescent="0.3">
      <c r="A243" s="6" t="s">
        <v>1908</v>
      </c>
      <c r="B243" s="6" t="s">
        <v>2708</v>
      </c>
      <c r="C243" s="6" t="s">
        <v>2709</v>
      </c>
    </row>
    <row r="244" spans="1:3" x14ac:dyDescent="0.3">
      <c r="A244" s="6" t="s">
        <v>1760</v>
      </c>
      <c r="B244" s="6" t="s">
        <v>2713</v>
      </c>
      <c r="C244" s="6" t="s">
        <v>2699</v>
      </c>
    </row>
    <row r="245" spans="1:3" x14ac:dyDescent="0.3">
      <c r="A245" s="6" t="s">
        <v>1736</v>
      </c>
      <c r="B245" s="6" t="s">
        <v>2715</v>
      </c>
      <c r="C245" s="6" t="s">
        <v>2709</v>
      </c>
    </row>
    <row r="246" spans="1:3" x14ac:dyDescent="0.3">
      <c r="A246" s="6" t="s">
        <v>2742</v>
      </c>
      <c r="B246" s="6" t="s">
        <v>2714</v>
      </c>
      <c r="C246" s="6" t="s">
        <v>2721</v>
      </c>
    </row>
    <row r="247" spans="1:3" x14ac:dyDescent="0.3">
      <c r="A247" s="6" t="s">
        <v>2703</v>
      </c>
      <c r="B247" s="6" t="s">
        <v>2713</v>
      </c>
      <c r="C247" s="6" t="s">
        <v>2719</v>
      </c>
    </row>
    <row r="248" spans="1:3" x14ac:dyDescent="0.3">
      <c r="A248" s="6" t="s">
        <v>2743</v>
      </c>
      <c r="B248" s="6" t="s">
        <v>2714</v>
      </c>
      <c r="C248" s="6" t="s">
        <v>2717</v>
      </c>
    </row>
    <row r="249" spans="1:3" x14ac:dyDescent="0.3">
      <c r="A249" s="6" t="s">
        <v>2386</v>
      </c>
      <c r="B249" s="6" t="s">
        <v>2713</v>
      </c>
      <c r="C249" s="6" t="s">
        <v>2717</v>
      </c>
    </row>
    <row r="250" spans="1:3" x14ac:dyDescent="0.3">
      <c r="A250" s="6" t="s">
        <v>2160</v>
      </c>
      <c r="B250" s="6" t="s">
        <v>2713</v>
      </c>
      <c r="C250" s="6" t="s">
        <v>2710</v>
      </c>
    </row>
    <row r="251" spans="1:3" x14ac:dyDescent="0.3">
      <c r="A251" s="6" t="s">
        <v>2347</v>
      </c>
      <c r="B251" s="6" t="s">
        <v>2713</v>
      </c>
      <c r="C251" s="6" t="s">
        <v>2723</v>
      </c>
    </row>
    <row r="252" spans="1:3" x14ac:dyDescent="0.3">
      <c r="A252" s="6" t="s">
        <v>2573</v>
      </c>
      <c r="B252" s="6" t="s">
        <v>2714</v>
      </c>
      <c r="C252" s="6" t="s">
        <v>2711</v>
      </c>
    </row>
    <row r="253" spans="1:3" x14ac:dyDescent="0.3">
      <c r="A253" s="6" t="s">
        <v>1956</v>
      </c>
      <c r="B253" s="6" t="s">
        <v>2708</v>
      </c>
      <c r="C253" s="6" t="s">
        <v>2709</v>
      </c>
    </row>
    <row r="254" spans="1:3" x14ac:dyDescent="0.3">
      <c r="A254" s="6" t="s">
        <v>2630</v>
      </c>
      <c r="B254" s="6" t="s">
        <v>2714</v>
      </c>
      <c r="C254" s="6" t="s">
        <v>2716</v>
      </c>
    </row>
    <row r="255" spans="1:3" x14ac:dyDescent="0.3">
      <c r="A255" s="6" t="s">
        <v>2698</v>
      </c>
      <c r="B255" s="6" t="s">
        <v>2708</v>
      </c>
      <c r="C255" s="6" t="s">
        <v>2710</v>
      </c>
    </row>
    <row r="256" spans="1:3" x14ac:dyDescent="0.3">
      <c r="A256" s="6" t="s">
        <v>2603</v>
      </c>
      <c r="B256" s="6" t="s">
        <v>2714</v>
      </c>
      <c r="C256" s="6" t="s">
        <v>2716</v>
      </c>
    </row>
    <row r="257" spans="1:3" x14ac:dyDescent="0.3">
      <c r="A257" s="6" t="s">
        <v>1745</v>
      </c>
      <c r="B257" s="6" t="s">
        <v>2708</v>
      </c>
      <c r="C257" s="6" t="s">
        <v>2709</v>
      </c>
    </row>
    <row r="258" spans="1:3" x14ac:dyDescent="0.3">
      <c r="A258" s="6" t="s">
        <v>2377</v>
      </c>
      <c r="B258" s="6" t="s">
        <v>2708</v>
      </c>
      <c r="C258" s="6" t="s">
        <v>2709</v>
      </c>
    </row>
    <row r="259" spans="1:3" x14ac:dyDescent="0.3">
      <c r="A259" s="6" t="s">
        <v>2151</v>
      </c>
      <c r="B259" s="6" t="s">
        <v>2715</v>
      </c>
      <c r="C259" s="6" t="s">
        <v>2709</v>
      </c>
    </row>
    <row r="260" spans="1:3" x14ac:dyDescent="0.3">
      <c r="A260" s="6" t="s">
        <v>2368</v>
      </c>
      <c r="B260" s="6" t="s">
        <v>2708</v>
      </c>
      <c r="C260" s="6" t="s">
        <v>2710</v>
      </c>
    </row>
    <row r="261" spans="1:3" x14ac:dyDescent="0.3">
      <c r="A261" s="6" t="s">
        <v>2145</v>
      </c>
      <c r="B261" s="6" t="s">
        <v>2708</v>
      </c>
      <c r="C261" s="6" t="s">
        <v>2709</v>
      </c>
    </row>
    <row r="262" spans="1:3" x14ac:dyDescent="0.3">
      <c r="A262" s="6" t="s">
        <v>1793</v>
      </c>
      <c r="B262" s="6" t="s">
        <v>2713</v>
      </c>
      <c r="C262" s="6" t="s">
        <v>2717</v>
      </c>
    </row>
    <row r="263" spans="1:3" x14ac:dyDescent="0.3">
      <c r="A263" s="6" t="s">
        <v>2356</v>
      </c>
      <c r="B263" s="6" t="s">
        <v>2708</v>
      </c>
      <c r="C263" s="6" t="s">
        <v>2709</v>
      </c>
    </row>
    <row r="264" spans="1:3" x14ac:dyDescent="0.3">
      <c r="A264" s="6" t="s">
        <v>1571</v>
      </c>
      <c r="B264" s="6" t="s">
        <v>2708</v>
      </c>
      <c r="C264" s="6" t="s">
        <v>2709</v>
      </c>
    </row>
    <row r="265" spans="1:3" x14ac:dyDescent="0.3">
      <c r="A265" s="6" t="s">
        <v>2744</v>
      </c>
      <c r="B265" s="6" t="s">
        <v>2715</v>
      </c>
      <c r="C265" s="6" t="s">
        <v>2709</v>
      </c>
    </row>
    <row r="266" spans="1:3" x14ac:dyDescent="0.3">
      <c r="A266" s="6" t="s">
        <v>2404</v>
      </c>
      <c r="B266" s="6" t="s">
        <v>2708</v>
      </c>
      <c r="C266" s="6" t="s">
        <v>2709</v>
      </c>
    </row>
    <row r="267" spans="1:3" x14ac:dyDescent="0.3">
      <c r="A267" s="6" t="s">
        <v>1319</v>
      </c>
      <c r="B267" s="6" t="s">
        <v>2713</v>
      </c>
      <c r="C267" s="6" t="s">
        <v>2710</v>
      </c>
    </row>
    <row r="268" spans="1:3" x14ac:dyDescent="0.3">
      <c r="A268" s="6" t="s">
        <v>2618</v>
      </c>
      <c r="B268" s="6" t="s">
        <v>2714</v>
      </c>
      <c r="C268" s="6" t="s">
        <v>2716</v>
      </c>
    </row>
    <row r="269" spans="1:3" x14ac:dyDescent="0.3">
      <c r="A269" s="6" t="s">
        <v>1697</v>
      </c>
      <c r="B269" s="6" t="s">
        <v>2713</v>
      </c>
      <c r="C269" s="6" t="s">
        <v>2719</v>
      </c>
    </row>
    <row r="270" spans="1:3" x14ac:dyDescent="0.3">
      <c r="A270" s="6" t="s">
        <v>1443</v>
      </c>
      <c r="B270" s="6" t="s">
        <v>2713</v>
      </c>
      <c r="C270" s="6" t="s">
        <v>2710</v>
      </c>
    </row>
    <row r="271" spans="1:3" x14ac:dyDescent="0.3">
      <c r="A271" s="6" t="s">
        <v>1700</v>
      </c>
      <c r="B271" s="6" t="s">
        <v>2713</v>
      </c>
      <c r="C271" s="6" t="s">
        <v>2699</v>
      </c>
    </row>
    <row r="272" spans="1:3" x14ac:dyDescent="0.3">
      <c r="A272" s="6" t="s">
        <v>2154</v>
      </c>
      <c r="B272" s="6" t="s">
        <v>2708</v>
      </c>
      <c r="C272" s="6" t="s">
        <v>2709</v>
      </c>
    </row>
    <row r="273" spans="1:3" x14ac:dyDescent="0.3">
      <c r="A273" s="6" t="s">
        <v>2353</v>
      </c>
      <c r="B273" s="6" t="s">
        <v>2708</v>
      </c>
      <c r="C273" s="6" t="s">
        <v>122</v>
      </c>
    </row>
    <row r="274" spans="1:3" x14ac:dyDescent="0.3">
      <c r="A274" s="6" t="s">
        <v>2697</v>
      </c>
      <c r="B274" s="6" t="s">
        <v>2708</v>
      </c>
      <c r="C274" s="6" t="s">
        <v>2709</v>
      </c>
    </row>
    <row r="275" spans="1:3" x14ac:dyDescent="0.3">
      <c r="A275" s="6" t="s">
        <v>2745</v>
      </c>
      <c r="B275" s="6" t="s">
        <v>2714</v>
      </c>
      <c r="C275" s="6" t="s">
        <v>2721</v>
      </c>
    </row>
    <row r="276" spans="1:3" x14ac:dyDescent="0.3">
      <c r="A276" s="6" t="s">
        <v>2374</v>
      </c>
      <c r="B276" s="6" t="s">
        <v>2708</v>
      </c>
      <c r="C276" s="6" t="s">
        <v>2709</v>
      </c>
    </row>
    <row r="277" spans="1:3" x14ac:dyDescent="0.3">
      <c r="A277" s="6" t="s">
        <v>1965</v>
      </c>
      <c r="B277" s="6" t="s">
        <v>2708</v>
      </c>
      <c r="C277" s="6" t="s">
        <v>2709</v>
      </c>
    </row>
    <row r="278" spans="1:3" x14ac:dyDescent="0.3">
      <c r="A278" s="6" t="s">
        <v>2633</v>
      </c>
      <c r="B278" s="6" t="s">
        <v>2714</v>
      </c>
      <c r="C278" s="6" t="s">
        <v>2716</v>
      </c>
    </row>
    <row r="279" spans="1:3" x14ac:dyDescent="0.3">
      <c r="A279" s="6" t="s">
        <v>1536</v>
      </c>
      <c r="B279" s="6" t="s">
        <v>2708</v>
      </c>
      <c r="C279" s="6" t="s">
        <v>2709</v>
      </c>
    </row>
    <row r="280" spans="1:3" x14ac:dyDescent="0.3">
      <c r="A280" s="6" t="s">
        <v>1914</v>
      </c>
      <c r="B280" s="6" t="s">
        <v>2713</v>
      </c>
      <c r="C280" s="6" t="s">
        <v>2699</v>
      </c>
    </row>
    <row r="281" spans="1:3" x14ac:dyDescent="0.3">
      <c r="A281" s="6" t="s">
        <v>2746</v>
      </c>
      <c r="B281" s="6" t="s">
        <v>2714</v>
      </c>
      <c r="C281" s="6" t="s">
        <v>2721</v>
      </c>
    </row>
    <row r="282" spans="1:3" x14ac:dyDescent="0.3">
      <c r="A282" s="6" t="s">
        <v>1449</v>
      </c>
      <c r="B282" s="6" t="s">
        <v>2708</v>
      </c>
      <c r="C282" s="6" t="s">
        <v>2709</v>
      </c>
    </row>
  </sheetData>
  <autoFilter ref="A1:C282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22" sqref="F22"/>
    </sheetView>
  </sheetViews>
  <sheetFormatPr defaultRowHeight="14.4" x14ac:dyDescent="0.3"/>
  <sheetData>
    <row r="1" spans="1:7" x14ac:dyDescent="0.3">
      <c r="A1" t="s">
        <v>1292</v>
      </c>
    </row>
    <row r="3" spans="1:7" x14ac:dyDescent="0.3">
      <c r="A3" t="s">
        <v>1293</v>
      </c>
    </row>
    <row r="4" spans="1:7" x14ac:dyDescent="0.3">
      <c r="A4" t="s">
        <v>1294</v>
      </c>
    </row>
    <row r="6" spans="1:7" x14ac:dyDescent="0.3">
      <c r="A6" t="s">
        <v>1295</v>
      </c>
    </row>
    <row r="7" spans="1:7" x14ac:dyDescent="0.3">
      <c r="A7" t="s">
        <v>1296</v>
      </c>
    </row>
    <row r="8" spans="1:7" x14ac:dyDescent="0.3">
      <c r="A8" t="s">
        <v>1297</v>
      </c>
    </row>
    <row r="10" spans="1:7" x14ac:dyDescent="0.3">
      <c r="A10" t="s">
        <v>2693</v>
      </c>
    </row>
    <row r="13" spans="1:7" x14ac:dyDescent="0.3">
      <c r="A13" s="6" t="s">
        <v>2749</v>
      </c>
      <c r="B13" s="6"/>
      <c r="C13" s="6"/>
      <c r="D13" s="6"/>
      <c r="E13" s="6"/>
      <c r="F13" s="6"/>
      <c r="G13" s="6"/>
    </row>
    <row r="14" spans="1:7" x14ac:dyDescent="0.3">
      <c r="A14" s="6" t="s">
        <v>2747</v>
      </c>
      <c r="B14" s="6"/>
      <c r="C14" s="6"/>
      <c r="D14" s="6"/>
      <c r="E14" s="6"/>
      <c r="F14" s="6"/>
      <c r="G14" s="6"/>
    </row>
    <row r="15" spans="1:7" x14ac:dyDescent="0.3">
      <c r="A15" s="6" t="s">
        <v>2748</v>
      </c>
      <c r="B15" s="6"/>
      <c r="C15" s="6"/>
      <c r="D15" s="6"/>
      <c r="E15" s="6"/>
      <c r="F15" s="6"/>
      <c r="G15" s="6"/>
    </row>
    <row r="16" spans="1:7" x14ac:dyDescent="0.3">
      <c r="A16" s="6" t="s">
        <v>2750</v>
      </c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22" spans="1:7" x14ac:dyDescent="0.3">
      <c r="F22" s="4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Ações</vt:lpstr>
      <vt:lpstr>FIIs</vt:lpstr>
      <vt:lpstr>FIAgros</vt:lpstr>
      <vt:lpstr>FIInfras</vt:lpstr>
      <vt:lpstr>base_fiis_inv10</vt:lpstr>
      <vt:lpstr>fonte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brasolin</cp:lastModifiedBy>
  <dcterms:created xsi:type="dcterms:W3CDTF">2025-12-26T17:25:43Z</dcterms:created>
  <dcterms:modified xsi:type="dcterms:W3CDTF">2026-02-07T13:45:45Z</dcterms:modified>
</cp:coreProperties>
</file>